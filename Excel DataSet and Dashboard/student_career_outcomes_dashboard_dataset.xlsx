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e2bd413bdd893f17/Desktop/Data Sci/"/>
    </mc:Choice>
  </mc:AlternateContent>
  <xr:revisionPtr revIDLastSave="9" documentId="8_{841107E9-E92F-4E87-9471-72527F49A413}" xr6:coauthVersionLast="47" xr6:coauthVersionMax="47" xr10:uidLastSave="{6727793B-EE1C-4CB8-82D0-05631AF5B858}"/>
  <bookViews>
    <workbookView xWindow="-110" yWindow="-110" windowWidth="19420" windowHeight="11500" firstSheet="1" activeTab="6" xr2:uid="{00000000-000D-0000-FFFF-FFFF00000000}"/>
  </bookViews>
  <sheets>
    <sheet name="Read Me" sheetId="1" r:id="rId1"/>
    <sheet name="Students" sheetId="2" r:id="rId2"/>
    <sheet name="Engagement" sheetId="3" r:id="rId3"/>
    <sheet name="Outcomes" sheetId="4" r:id="rId4"/>
    <sheet name="Master_Data" sheetId="8" r:id="rId5"/>
    <sheet name="Summary_Analysis" sheetId="9" r:id="rId6"/>
    <sheet name="Dashboard" sheetId="11" r:id="rId7"/>
  </sheets>
  <definedNames>
    <definedName name="Slicer_Employment_Status">#N/A</definedName>
    <definedName name="Slicer_Major">#N/A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A5" i="11" l="1"/>
  <c r="B4" i="9"/>
  <c r="B7" i="9"/>
  <c r="B8" i="9"/>
  <c r="B6" i="9"/>
  <c r="B5" i="9"/>
  <c r="T3" i="8"/>
  <c r="T4" i="8"/>
  <c r="T5" i="8"/>
  <c r="T6" i="8"/>
  <c r="T7" i="8"/>
  <c r="T8" i="8"/>
  <c r="T9" i="8"/>
  <c r="T10" i="8"/>
  <c r="T11" i="8"/>
  <c r="T12" i="8"/>
  <c r="T13" i="8"/>
  <c r="T14" i="8"/>
  <c r="T15" i="8"/>
  <c r="T16" i="8"/>
  <c r="T17" i="8"/>
  <c r="T18" i="8"/>
  <c r="T19" i="8"/>
  <c r="T20" i="8"/>
  <c r="T21" i="8"/>
  <c r="T22" i="8"/>
  <c r="T23" i="8"/>
  <c r="T24" i="8"/>
  <c r="T25" i="8"/>
  <c r="T26" i="8"/>
  <c r="T27" i="8"/>
  <c r="T28" i="8"/>
  <c r="T29" i="8"/>
  <c r="T30" i="8"/>
  <c r="T31" i="8"/>
  <c r="T32" i="8"/>
  <c r="T33" i="8"/>
  <c r="T34" i="8"/>
  <c r="T35" i="8"/>
  <c r="T36" i="8"/>
  <c r="T37" i="8"/>
  <c r="T38" i="8"/>
  <c r="T39" i="8"/>
  <c r="T40" i="8"/>
  <c r="T41" i="8"/>
  <c r="T42" i="8"/>
  <c r="T43" i="8"/>
  <c r="T44" i="8"/>
  <c r="T45" i="8"/>
  <c r="T46" i="8"/>
  <c r="T47" i="8"/>
  <c r="T48" i="8"/>
  <c r="T49" i="8"/>
  <c r="T50" i="8"/>
  <c r="T51" i="8"/>
  <c r="T52" i="8"/>
  <c r="T53" i="8"/>
  <c r="T54" i="8"/>
  <c r="T55" i="8"/>
  <c r="T56" i="8"/>
  <c r="T57" i="8"/>
  <c r="T58" i="8"/>
  <c r="T59" i="8"/>
  <c r="T60" i="8"/>
  <c r="T61" i="8"/>
  <c r="T62" i="8"/>
  <c r="T63" i="8"/>
  <c r="T64" i="8"/>
  <c r="T65" i="8"/>
  <c r="T66" i="8"/>
  <c r="T67" i="8"/>
  <c r="T68" i="8"/>
  <c r="T69" i="8"/>
  <c r="T70" i="8"/>
  <c r="T71" i="8"/>
  <c r="T72" i="8"/>
  <c r="T73" i="8"/>
  <c r="T74" i="8"/>
  <c r="T75" i="8"/>
  <c r="T76" i="8"/>
  <c r="T77" i="8"/>
  <c r="T78" i="8"/>
  <c r="T79" i="8"/>
  <c r="T80" i="8"/>
  <c r="T81" i="8"/>
  <c r="T82" i="8"/>
  <c r="T83" i="8"/>
  <c r="T84" i="8"/>
  <c r="T85" i="8"/>
  <c r="T86" i="8"/>
  <c r="T87" i="8"/>
  <c r="T88" i="8"/>
  <c r="T89" i="8"/>
  <c r="T90" i="8"/>
  <c r="T91" i="8"/>
  <c r="T92" i="8"/>
  <c r="T93" i="8"/>
  <c r="T94" i="8"/>
  <c r="T95" i="8"/>
  <c r="T96" i="8"/>
  <c r="T97" i="8"/>
  <c r="T98" i="8"/>
  <c r="T99" i="8"/>
  <c r="T100" i="8"/>
  <c r="T101" i="8"/>
  <c r="T102" i="8"/>
  <c r="T103" i="8"/>
  <c r="T104" i="8"/>
  <c r="T105" i="8"/>
  <c r="T106" i="8"/>
  <c r="T107" i="8"/>
  <c r="T108" i="8"/>
  <c r="T109" i="8"/>
  <c r="T110" i="8"/>
  <c r="T111" i="8"/>
  <c r="T112" i="8"/>
  <c r="T113" i="8"/>
  <c r="T114" i="8"/>
  <c r="T115" i="8"/>
  <c r="T116" i="8"/>
  <c r="T117" i="8"/>
  <c r="T118" i="8"/>
  <c r="T119" i="8"/>
  <c r="T120" i="8"/>
  <c r="T121" i="8"/>
  <c r="T2" i="8"/>
  <c r="S2" i="8"/>
  <c r="S3" i="8"/>
  <c r="S4" i="8"/>
  <c r="S5" i="8"/>
  <c r="S6" i="8"/>
  <c r="S7" i="8"/>
  <c r="S8" i="8"/>
  <c r="S9" i="8"/>
  <c r="S10" i="8"/>
  <c r="S11" i="8"/>
  <c r="S12" i="8"/>
  <c r="S13" i="8"/>
  <c r="S14" i="8"/>
  <c r="S15" i="8"/>
  <c r="S16" i="8"/>
  <c r="S17" i="8"/>
  <c r="S18" i="8"/>
  <c r="S19" i="8"/>
  <c r="S20" i="8"/>
  <c r="S21" i="8"/>
  <c r="S22" i="8"/>
  <c r="S23" i="8"/>
  <c r="S24" i="8"/>
  <c r="S25" i="8"/>
  <c r="S26" i="8"/>
  <c r="S27" i="8"/>
  <c r="S28" i="8"/>
  <c r="S29" i="8"/>
  <c r="S30" i="8"/>
  <c r="S31" i="8"/>
  <c r="S32" i="8"/>
  <c r="S33" i="8"/>
  <c r="S34" i="8"/>
  <c r="S35" i="8"/>
  <c r="S36" i="8"/>
  <c r="S37" i="8"/>
  <c r="S38" i="8"/>
  <c r="S39" i="8"/>
  <c r="S40" i="8"/>
  <c r="S41" i="8"/>
  <c r="S42" i="8"/>
  <c r="S43" i="8"/>
  <c r="S44" i="8"/>
  <c r="S45" i="8"/>
  <c r="S46" i="8"/>
  <c r="S47" i="8"/>
  <c r="S48" i="8"/>
  <c r="S49" i="8"/>
  <c r="S50" i="8"/>
  <c r="S51" i="8"/>
  <c r="S52" i="8"/>
  <c r="S53" i="8"/>
  <c r="S54" i="8"/>
  <c r="S55" i="8"/>
  <c r="S56" i="8"/>
  <c r="S57" i="8"/>
  <c r="S58" i="8"/>
  <c r="S59" i="8"/>
  <c r="S60" i="8"/>
  <c r="S61" i="8"/>
  <c r="S62" i="8"/>
  <c r="S63" i="8"/>
  <c r="S64" i="8"/>
  <c r="S65" i="8"/>
  <c r="S66" i="8"/>
  <c r="S67" i="8"/>
  <c r="S68" i="8"/>
  <c r="S69" i="8"/>
  <c r="S70" i="8"/>
  <c r="S71" i="8"/>
  <c r="S72" i="8"/>
  <c r="S73" i="8"/>
  <c r="S74" i="8"/>
  <c r="S75" i="8"/>
  <c r="S76" i="8"/>
  <c r="S77" i="8"/>
  <c r="S78" i="8"/>
  <c r="S79" i="8"/>
  <c r="S80" i="8"/>
  <c r="S81" i="8"/>
  <c r="S82" i="8"/>
  <c r="S83" i="8"/>
  <c r="S84" i="8"/>
  <c r="S85" i="8"/>
  <c r="S86" i="8"/>
  <c r="S87" i="8"/>
  <c r="S88" i="8"/>
  <c r="S89" i="8"/>
  <c r="S90" i="8"/>
  <c r="S91" i="8"/>
  <c r="S92" i="8"/>
  <c r="S93" i="8"/>
  <c r="S94" i="8"/>
  <c r="S95" i="8"/>
  <c r="S96" i="8"/>
  <c r="S97" i="8"/>
  <c r="S98" i="8"/>
  <c r="S99" i="8"/>
  <c r="S100" i="8"/>
  <c r="S101" i="8"/>
  <c r="S102" i="8"/>
  <c r="S103" i="8"/>
  <c r="S104" i="8"/>
  <c r="S105" i="8"/>
  <c r="S106" i="8"/>
  <c r="S107" i="8"/>
  <c r="S108" i="8"/>
  <c r="S109" i="8"/>
  <c r="S110" i="8"/>
  <c r="S111" i="8"/>
  <c r="S112" i="8"/>
  <c r="S113" i="8"/>
  <c r="S114" i="8"/>
  <c r="S115" i="8"/>
  <c r="S116" i="8"/>
  <c r="S117" i="8"/>
  <c r="S118" i="8"/>
  <c r="S119" i="8"/>
  <c r="S120" i="8"/>
  <c r="S121" i="8"/>
  <c r="R3" i="8"/>
  <c r="R4" i="8"/>
  <c r="R5" i="8"/>
  <c r="R6" i="8"/>
  <c r="R7" i="8"/>
  <c r="R8" i="8"/>
  <c r="R9" i="8"/>
  <c r="R10" i="8"/>
  <c r="R11" i="8"/>
  <c r="R12" i="8"/>
  <c r="R13" i="8"/>
  <c r="R14" i="8"/>
  <c r="R15" i="8"/>
  <c r="R16" i="8"/>
  <c r="R17" i="8"/>
  <c r="R18" i="8"/>
  <c r="R19" i="8"/>
  <c r="R20" i="8"/>
  <c r="R21" i="8"/>
  <c r="R22" i="8"/>
  <c r="R23" i="8"/>
  <c r="R24" i="8"/>
  <c r="R25" i="8"/>
  <c r="R26" i="8"/>
  <c r="R27" i="8"/>
  <c r="R28" i="8"/>
  <c r="R29" i="8"/>
  <c r="R30" i="8"/>
  <c r="R31" i="8"/>
  <c r="R32" i="8"/>
  <c r="R33" i="8"/>
  <c r="R34" i="8"/>
  <c r="R35" i="8"/>
  <c r="R36" i="8"/>
  <c r="R37" i="8"/>
  <c r="R38" i="8"/>
  <c r="R39" i="8"/>
  <c r="R40" i="8"/>
  <c r="R41" i="8"/>
  <c r="R42" i="8"/>
  <c r="R43" i="8"/>
  <c r="R44" i="8"/>
  <c r="R45" i="8"/>
  <c r="R46" i="8"/>
  <c r="R47" i="8"/>
  <c r="R48" i="8"/>
  <c r="R49" i="8"/>
  <c r="R50" i="8"/>
  <c r="R51" i="8"/>
  <c r="R52" i="8"/>
  <c r="R53" i="8"/>
  <c r="R54" i="8"/>
  <c r="R55" i="8"/>
  <c r="R56" i="8"/>
  <c r="R57" i="8"/>
  <c r="R58" i="8"/>
  <c r="R59" i="8"/>
  <c r="R60" i="8"/>
  <c r="R61" i="8"/>
  <c r="R62" i="8"/>
  <c r="R63" i="8"/>
  <c r="R64" i="8"/>
  <c r="R65" i="8"/>
  <c r="R66" i="8"/>
  <c r="R67" i="8"/>
  <c r="R68" i="8"/>
  <c r="R69" i="8"/>
  <c r="R70" i="8"/>
  <c r="R71" i="8"/>
  <c r="R72" i="8"/>
  <c r="R73" i="8"/>
  <c r="R74" i="8"/>
  <c r="R75" i="8"/>
  <c r="R76" i="8"/>
  <c r="R77" i="8"/>
  <c r="R78" i="8"/>
  <c r="R79" i="8"/>
  <c r="R80" i="8"/>
  <c r="R81" i="8"/>
  <c r="R82" i="8"/>
  <c r="R83" i="8"/>
  <c r="R84" i="8"/>
  <c r="R85" i="8"/>
  <c r="R86" i="8"/>
  <c r="R87" i="8"/>
  <c r="R88" i="8"/>
  <c r="R89" i="8"/>
  <c r="R90" i="8"/>
  <c r="R91" i="8"/>
  <c r="R92" i="8"/>
  <c r="R93" i="8"/>
  <c r="R94" i="8"/>
  <c r="R95" i="8"/>
  <c r="R96" i="8"/>
  <c r="R97" i="8"/>
  <c r="R98" i="8"/>
  <c r="R99" i="8"/>
  <c r="R100" i="8"/>
  <c r="R101" i="8"/>
  <c r="R102" i="8"/>
  <c r="R103" i="8"/>
  <c r="R104" i="8"/>
  <c r="R105" i="8"/>
  <c r="R106" i="8"/>
  <c r="R107" i="8"/>
  <c r="R108" i="8"/>
  <c r="R109" i="8"/>
  <c r="R110" i="8"/>
  <c r="R111" i="8"/>
  <c r="R112" i="8"/>
  <c r="R113" i="8"/>
  <c r="R114" i="8"/>
  <c r="R115" i="8"/>
  <c r="R116" i="8"/>
  <c r="R117" i="8"/>
  <c r="R118" i="8"/>
  <c r="R119" i="8"/>
  <c r="R120" i="8"/>
  <c r="R121" i="8"/>
  <c r="R2" i="8"/>
  <c r="Q3" i="8"/>
  <c r="Q4" i="8"/>
  <c r="Q5" i="8"/>
  <c r="Q6" i="8"/>
  <c r="Q7" i="8"/>
  <c r="Q8" i="8"/>
  <c r="Q9" i="8"/>
  <c r="Q10" i="8"/>
  <c r="Q11" i="8"/>
  <c r="Q12" i="8"/>
  <c r="Q13" i="8"/>
  <c r="Q14" i="8"/>
  <c r="Q15" i="8"/>
  <c r="Q16" i="8"/>
  <c r="Q17" i="8"/>
  <c r="Q18" i="8"/>
  <c r="Q19" i="8"/>
  <c r="Q20" i="8"/>
  <c r="Q21" i="8"/>
  <c r="Q22" i="8"/>
  <c r="Q23" i="8"/>
  <c r="Q24" i="8"/>
  <c r="Q25" i="8"/>
  <c r="Q26" i="8"/>
  <c r="Q27" i="8"/>
  <c r="Q28" i="8"/>
  <c r="Q29" i="8"/>
  <c r="Q30" i="8"/>
  <c r="Q31" i="8"/>
  <c r="Q32" i="8"/>
  <c r="Q33" i="8"/>
  <c r="Q34" i="8"/>
  <c r="Q35" i="8"/>
  <c r="Q36" i="8"/>
  <c r="Q37" i="8"/>
  <c r="Q38" i="8"/>
  <c r="Q39" i="8"/>
  <c r="Q40" i="8"/>
  <c r="Q41" i="8"/>
  <c r="Q42" i="8"/>
  <c r="Q43" i="8"/>
  <c r="Q44" i="8"/>
  <c r="Q45" i="8"/>
  <c r="Q46" i="8"/>
  <c r="Q47" i="8"/>
  <c r="Q48" i="8"/>
  <c r="Q49" i="8"/>
  <c r="Q50" i="8"/>
  <c r="Q51" i="8"/>
  <c r="Q52" i="8"/>
  <c r="Q53" i="8"/>
  <c r="Q54" i="8"/>
  <c r="Q55" i="8"/>
  <c r="Q56" i="8"/>
  <c r="Q57" i="8"/>
  <c r="Q58" i="8"/>
  <c r="Q59" i="8"/>
  <c r="Q60" i="8"/>
  <c r="Q61" i="8"/>
  <c r="Q62" i="8"/>
  <c r="Q63" i="8"/>
  <c r="Q64" i="8"/>
  <c r="Q65" i="8"/>
  <c r="Q66" i="8"/>
  <c r="Q67" i="8"/>
  <c r="Q68" i="8"/>
  <c r="Q69" i="8"/>
  <c r="Q70" i="8"/>
  <c r="Q71" i="8"/>
  <c r="Q72" i="8"/>
  <c r="Q73" i="8"/>
  <c r="Q74" i="8"/>
  <c r="Q75" i="8"/>
  <c r="Q76" i="8"/>
  <c r="Q77" i="8"/>
  <c r="Q78" i="8"/>
  <c r="Q79" i="8"/>
  <c r="Q80" i="8"/>
  <c r="Q81" i="8"/>
  <c r="Q82" i="8"/>
  <c r="Q83" i="8"/>
  <c r="Q84" i="8"/>
  <c r="Q85" i="8"/>
  <c r="Q86" i="8"/>
  <c r="Q87" i="8"/>
  <c r="Q88" i="8"/>
  <c r="Q89" i="8"/>
  <c r="Q90" i="8"/>
  <c r="Q91" i="8"/>
  <c r="Q92" i="8"/>
  <c r="Q93" i="8"/>
  <c r="Q94" i="8"/>
  <c r="Q95" i="8"/>
  <c r="Q96" i="8"/>
  <c r="Q97" i="8"/>
  <c r="Q98" i="8"/>
  <c r="Q99" i="8"/>
  <c r="Q100" i="8"/>
  <c r="Q101" i="8"/>
  <c r="Q102" i="8"/>
  <c r="Q103" i="8"/>
  <c r="Q104" i="8"/>
  <c r="Q105" i="8"/>
  <c r="Q106" i="8"/>
  <c r="Q107" i="8"/>
  <c r="Q108" i="8"/>
  <c r="Q109" i="8"/>
  <c r="Q110" i="8"/>
  <c r="Q111" i="8"/>
  <c r="Q112" i="8"/>
  <c r="Q113" i="8"/>
  <c r="Q114" i="8"/>
  <c r="Q115" i="8"/>
  <c r="Q116" i="8"/>
  <c r="Q117" i="8"/>
  <c r="Q118" i="8"/>
  <c r="Q119" i="8"/>
  <c r="Q120" i="8"/>
  <c r="Q121" i="8"/>
  <c r="P3" i="8"/>
  <c r="P4" i="8"/>
  <c r="P5" i="8"/>
  <c r="P6" i="8"/>
  <c r="P7" i="8"/>
  <c r="P8" i="8"/>
  <c r="P9" i="8"/>
  <c r="P10" i="8"/>
  <c r="P11" i="8"/>
  <c r="P12" i="8"/>
  <c r="P13" i="8"/>
  <c r="P14" i="8"/>
  <c r="P15" i="8"/>
  <c r="P16" i="8"/>
  <c r="P17" i="8"/>
  <c r="P18" i="8"/>
  <c r="P19" i="8"/>
  <c r="P20" i="8"/>
  <c r="P21" i="8"/>
  <c r="P22" i="8"/>
  <c r="P23" i="8"/>
  <c r="P24" i="8"/>
  <c r="P25" i="8"/>
  <c r="P26" i="8"/>
  <c r="P27" i="8"/>
  <c r="P28" i="8"/>
  <c r="P29" i="8"/>
  <c r="P30" i="8"/>
  <c r="P31" i="8"/>
  <c r="P32" i="8"/>
  <c r="P33" i="8"/>
  <c r="P34" i="8"/>
  <c r="P35" i="8"/>
  <c r="P36" i="8"/>
  <c r="P37" i="8"/>
  <c r="P38" i="8"/>
  <c r="P39" i="8"/>
  <c r="P40" i="8"/>
  <c r="P41" i="8"/>
  <c r="P42" i="8"/>
  <c r="P43" i="8"/>
  <c r="P44" i="8"/>
  <c r="P45" i="8"/>
  <c r="P46" i="8"/>
  <c r="P47" i="8"/>
  <c r="P48" i="8"/>
  <c r="P49" i="8"/>
  <c r="P50" i="8"/>
  <c r="P51" i="8"/>
  <c r="P52" i="8"/>
  <c r="P53" i="8"/>
  <c r="P54" i="8"/>
  <c r="P55" i="8"/>
  <c r="P56" i="8"/>
  <c r="P57" i="8"/>
  <c r="P58" i="8"/>
  <c r="P59" i="8"/>
  <c r="P60" i="8"/>
  <c r="P61" i="8"/>
  <c r="P62" i="8"/>
  <c r="P63" i="8"/>
  <c r="P64" i="8"/>
  <c r="P65" i="8"/>
  <c r="P66" i="8"/>
  <c r="P67" i="8"/>
  <c r="P68" i="8"/>
  <c r="P69" i="8"/>
  <c r="P70" i="8"/>
  <c r="P71" i="8"/>
  <c r="P72" i="8"/>
  <c r="P73" i="8"/>
  <c r="P74" i="8"/>
  <c r="P75" i="8"/>
  <c r="P76" i="8"/>
  <c r="P77" i="8"/>
  <c r="P78" i="8"/>
  <c r="P79" i="8"/>
  <c r="P80" i="8"/>
  <c r="P81" i="8"/>
  <c r="P82" i="8"/>
  <c r="P83" i="8"/>
  <c r="P84" i="8"/>
  <c r="P85" i="8"/>
  <c r="P86" i="8"/>
  <c r="P87" i="8"/>
  <c r="P88" i="8"/>
  <c r="P89" i="8"/>
  <c r="P90" i="8"/>
  <c r="P91" i="8"/>
  <c r="P92" i="8"/>
  <c r="P93" i="8"/>
  <c r="P94" i="8"/>
  <c r="P95" i="8"/>
  <c r="P96" i="8"/>
  <c r="P97" i="8"/>
  <c r="P98" i="8"/>
  <c r="P99" i="8"/>
  <c r="P100" i="8"/>
  <c r="P101" i="8"/>
  <c r="P102" i="8"/>
  <c r="P103" i="8"/>
  <c r="P104" i="8"/>
  <c r="P105" i="8"/>
  <c r="P106" i="8"/>
  <c r="P107" i="8"/>
  <c r="P108" i="8"/>
  <c r="P109" i="8"/>
  <c r="P110" i="8"/>
  <c r="P111" i="8"/>
  <c r="P112" i="8"/>
  <c r="P113" i="8"/>
  <c r="P114" i="8"/>
  <c r="P115" i="8"/>
  <c r="P116" i="8"/>
  <c r="P117" i="8"/>
  <c r="P118" i="8"/>
  <c r="P119" i="8"/>
  <c r="P120" i="8"/>
  <c r="P121" i="8"/>
  <c r="O3" i="8"/>
  <c r="O4" i="8"/>
  <c r="O5" i="8"/>
  <c r="O6" i="8"/>
  <c r="O7" i="8"/>
  <c r="O8" i="8"/>
  <c r="O9" i="8"/>
  <c r="O10" i="8"/>
  <c r="O11" i="8"/>
  <c r="O12" i="8"/>
  <c r="O13" i="8"/>
  <c r="O14" i="8"/>
  <c r="O15" i="8"/>
  <c r="O16" i="8"/>
  <c r="O17" i="8"/>
  <c r="O18" i="8"/>
  <c r="O19" i="8"/>
  <c r="O20" i="8"/>
  <c r="O21" i="8"/>
  <c r="O22" i="8"/>
  <c r="O23" i="8"/>
  <c r="O24" i="8"/>
  <c r="O25" i="8"/>
  <c r="O26" i="8"/>
  <c r="O27" i="8"/>
  <c r="O28" i="8"/>
  <c r="O29" i="8"/>
  <c r="O30" i="8"/>
  <c r="O31" i="8"/>
  <c r="O32" i="8"/>
  <c r="O33" i="8"/>
  <c r="O34" i="8"/>
  <c r="O35" i="8"/>
  <c r="O36" i="8"/>
  <c r="O37" i="8"/>
  <c r="O38" i="8"/>
  <c r="O39" i="8"/>
  <c r="O40" i="8"/>
  <c r="O41" i="8"/>
  <c r="O42" i="8"/>
  <c r="O43" i="8"/>
  <c r="O44" i="8"/>
  <c r="O45" i="8"/>
  <c r="O46" i="8"/>
  <c r="O47" i="8"/>
  <c r="O48" i="8"/>
  <c r="O49" i="8"/>
  <c r="O50" i="8"/>
  <c r="O51" i="8"/>
  <c r="O52" i="8"/>
  <c r="O53" i="8"/>
  <c r="O54" i="8"/>
  <c r="O55" i="8"/>
  <c r="O56" i="8"/>
  <c r="O57" i="8"/>
  <c r="O58" i="8"/>
  <c r="O59" i="8"/>
  <c r="O60" i="8"/>
  <c r="O61" i="8"/>
  <c r="O62" i="8"/>
  <c r="O63" i="8"/>
  <c r="O64" i="8"/>
  <c r="O65" i="8"/>
  <c r="O66" i="8"/>
  <c r="O67" i="8"/>
  <c r="O68" i="8"/>
  <c r="O69" i="8"/>
  <c r="O70" i="8"/>
  <c r="O71" i="8"/>
  <c r="O72" i="8"/>
  <c r="O73" i="8"/>
  <c r="O74" i="8"/>
  <c r="O75" i="8"/>
  <c r="O76" i="8"/>
  <c r="O77" i="8"/>
  <c r="O78" i="8"/>
  <c r="O79" i="8"/>
  <c r="O80" i="8"/>
  <c r="O81" i="8"/>
  <c r="O82" i="8"/>
  <c r="O83" i="8"/>
  <c r="O84" i="8"/>
  <c r="O85" i="8"/>
  <c r="O86" i="8"/>
  <c r="O87" i="8"/>
  <c r="O88" i="8"/>
  <c r="O89" i="8"/>
  <c r="O90" i="8"/>
  <c r="O91" i="8"/>
  <c r="O92" i="8"/>
  <c r="O93" i="8"/>
  <c r="O94" i="8"/>
  <c r="O95" i="8"/>
  <c r="O96" i="8"/>
  <c r="O97" i="8"/>
  <c r="O98" i="8"/>
  <c r="O99" i="8"/>
  <c r="O100" i="8"/>
  <c r="O101" i="8"/>
  <c r="O102" i="8"/>
  <c r="O103" i="8"/>
  <c r="O104" i="8"/>
  <c r="O105" i="8"/>
  <c r="O106" i="8"/>
  <c r="O107" i="8"/>
  <c r="O108" i="8"/>
  <c r="O109" i="8"/>
  <c r="O110" i="8"/>
  <c r="O111" i="8"/>
  <c r="O112" i="8"/>
  <c r="O113" i="8"/>
  <c r="O114" i="8"/>
  <c r="O115" i="8"/>
  <c r="O116" i="8"/>
  <c r="O117" i="8"/>
  <c r="O118" i="8"/>
  <c r="O119" i="8"/>
  <c r="O120" i="8"/>
  <c r="O121" i="8"/>
  <c r="Q2" i="8"/>
  <c r="P2" i="8"/>
  <c r="O2" i="8"/>
  <c r="N3" i="8"/>
  <c r="N4" i="8"/>
  <c r="N5" i="8"/>
  <c r="N6" i="8"/>
  <c r="N7" i="8"/>
  <c r="N8" i="8"/>
  <c r="N9" i="8"/>
  <c r="N10" i="8"/>
  <c r="N11" i="8"/>
  <c r="N12" i="8"/>
  <c r="N13" i="8"/>
  <c r="N14" i="8"/>
  <c r="N15" i="8"/>
  <c r="N16" i="8"/>
  <c r="N17" i="8"/>
  <c r="N18" i="8"/>
  <c r="N19" i="8"/>
  <c r="N20" i="8"/>
  <c r="N21" i="8"/>
  <c r="N22" i="8"/>
  <c r="N23" i="8"/>
  <c r="N24" i="8"/>
  <c r="N25" i="8"/>
  <c r="N26" i="8"/>
  <c r="N27" i="8"/>
  <c r="N28" i="8"/>
  <c r="N29" i="8"/>
  <c r="N30" i="8"/>
  <c r="N31" i="8"/>
  <c r="N32" i="8"/>
  <c r="N33" i="8"/>
  <c r="N34" i="8"/>
  <c r="N35" i="8"/>
  <c r="N36" i="8"/>
  <c r="N37" i="8"/>
  <c r="N38" i="8"/>
  <c r="N39" i="8"/>
  <c r="N40" i="8"/>
  <c r="N41" i="8"/>
  <c r="N42" i="8"/>
  <c r="N43" i="8"/>
  <c r="N44" i="8"/>
  <c r="N45" i="8"/>
  <c r="N46" i="8"/>
  <c r="N47" i="8"/>
  <c r="N48" i="8"/>
  <c r="N49" i="8"/>
  <c r="N50" i="8"/>
  <c r="N51" i="8"/>
  <c r="N52" i="8"/>
  <c r="N53" i="8"/>
  <c r="N54" i="8"/>
  <c r="N55" i="8"/>
  <c r="N56" i="8"/>
  <c r="N57" i="8"/>
  <c r="N58" i="8"/>
  <c r="N59" i="8"/>
  <c r="N60" i="8"/>
  <c r="N61" i="8"/>
  <c r="N62" i="8"/>
  <c r="N63" i="8"/>
  <c r="N64" i="8"/>
  <c r="N65" i="8"/>
  <c r="N66" i="8"/>
  <c r="N67" i="8"/>
  <c r="N68" i="8"/>
  <c r="N69" i="8"/>
  <c r="N70" i="8"/>
  <c r="N71" i="8"/>
  <c r="N72" i="8"/>
  <c r="N73" i="8"/>
  <c r="N74" i="8"/>
  <c r="N75" i="8"/>
  <c r="N76" i="8"/>
  <c r="N77" i="8"/>
  <c r="N78" i="8"/>
  <c r="N79" i="8"/>
  <c r="N80" i="8"/>
  <c r="N81" i="8"/>
  <c r="N82" i="8"/>
  <c r="N83" i="8"/>
  <c r="N84" i="8"/>
  <c r="N85" i="8"/>
  <c r="N86" i="8"/>
  <c r="N87" i="8"/>
  <c r="N88" i="8"/>
  <c r="N89" i="8"/>
  <c r="N90" i="8"/>
  <c r="N91" i="8"/>
  <c r="N92" i="8"/>
  <c r="N93" i="8"/>
  <c r="N94" i="8"/>
  <c r="N95" i="8"/>
  <c r="N96" i="8"/>
  <c r="N97" i="8"/>
  <c r="N98" i="8"/>
  <c r="N99" i="8"/>
  <c r="N100" i="8"/>
  <c r="N101" i="8"/>
  <c r="N102" i="8"/>
  <c r="N103" i="8"/>
  <c r="N104" i="8"/>
  <c r="N105" i="8"/>
  <c r="N106" i="8"/>
  <c r="N107" i="8"/>
  <c r="N108" i="8"/>
  <c r="N109" i="8"/>
  <c r="N110" i="8"/>
  <c r="N111" i="8"/>
  <c r="N112" i="8"/>
  <c r="N113" i="8"/>
  <c r="N114" i="8"/>
  <c r="N115" i="8"/>
  <c r="N116" i="8"/>
  <c r="N117" i="8"/>
  <c r="N118" i="8"/>
  <c r="N119" i="8"/>
  <c r="N120" i="8"/>
  <c r="N121" i="8"/>
  <c r="N2" i="8"/>
  <c r="M3" i="8"/>
  <c r="M4" i="8"/>
  <c r="M5" i="8"/>
  <c r="M6" i="8"/>
  <c r="M7" i="8"/>
  <c r="M8" i="8"/>
  <c r="M9" i="8"/>
  <c r="M10" i="8"/>
  <c r="M11" i="8"/>
  <c r="M12" i="8"/>
  <c r="M13" i="8"/>
  <c r="M14" i="8"/>
  <c r="M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M54" i="8"/>
  <c r="M55" i="8"/>
  <c r="M56" i="8"/>
  <c r="M57" i="8"/>
  <c r="M58" i="8"/>
  <c r="M59" i="8"/>
  <c r="M60" i="8"/>
  <c r="M61" i="8"/>
  <c r="M62" i="8"/>
  <c r="M63" i="8"/>
  <c r="M64" i="8"/>
  <c r="M65" i="8"/>
  <c r="M66" i="8"/>
  <c r="M67" i="8"/>
  <c r="M68" i="8"/>
  <c r="M69" i="8"/>
  <c r="M70" i="8"/>
  <c r="M71" i="8"/>
  <c r="M72" i="8"/>
  <c r="M73" i="8"/>
  <c r="M74" i="8"/>
  <c r="M75" i="8"/>
  <c r="M76" i="8"/>
  <c r="M77" i="8"/>
  <c r="M78" i="8"/>
  <c r="M79" i="8"/>
  <c r="M80" i="8"/>
  <c r="M81" i="8"/>
  <c r="M82" i="8"/>
  <c r="M83" i="8"/>
  <c r="M84" i="8"/>
  <c r="M85" i="8"/>
  <c r="M86" i="8"/>
  <c r="M87" i="8"/>
  <c r="M88" i="8"/>
  <c r="M89" i="8"/>
  <c r="M90" i="8"/>
  <c r="M91" i="8"/>
  <c r="M92" i="8"/>
  <c r="M93" i="8"/>
  <c r="M94" i="8"/>
  <c r="M95" i="8"/>
  <c r="M96" i="8"/>
  <c r="M97" i="8"/>
  <c r="M98" i="8"/>
  <c r="M99" i="8"/>
  <c r="M100" i="8"/>
  <c r="M101" i="8"/>
  <c r="M102" i="8"/>
  <c r="M103" i="8"/>
  <c r="M104" i="8"/>
  <c r="M105" i="8"/>
  <c r="M106" i="8"/>
  <c r="M107" i="8"/>
  <c r="M108" i="8"/>
  <c r="M109" i="8"/>
  <c r="M110" i="8"/>
  <c r="M111" i="8"/>
  <c r="M112" i="8"/>
  <c r="M113" i="8"/>
  <c r="M114" i="8"/>
  <c r="M115" i="8"/>
  <c r="M116" i="8"/>
  <c r="M117" i="8"/>
  <c r="M118" i="8"/>
  <c r="M119" i="8"/>
  <c r="M120" i="8"/>
  <c r="M121" i="8"/>
  <c r="M2" i="8"/>
  <c r="L2" i="8"/>
  <c r="L3" i="8"/>
  <c r="L4" i="8"/>
  <c r="L5" i="8"/>
  <c r="L6" i="8"/>
  <c r="L7" i="8"/>
  <c r="L8" i="8"/>
  <c r="L9" i="8"/>
  <c r="L10" i="8"/>
  <c r="L11" i="8"/>
  <c r="L12" i="8"/>
  <c r="L13" i="8"/>
  <c r="L14" i="8"/>
  <c r="L15" i="8"/>
  <c r="L16" i="8"/>
  <c r="L17" i="8"/>
  <c r="L18" i="8"/>
  <c r="L19" i="8"/>
  <c r="L20" i="8"/>
  <c r="L21" i="8"/>
  <c r="L22" i="8"/>
  <c r="L23" i="8"/>
  <c r="L24" i="8"/>
  <c r="L25" i="8"/>
  <c r="L26" i="8"/>
  <c r="L27" i="8"/>
  <c r="L28" i="8"/>
  <c r="L29" i="8"/>
  <c r="L30" i="8"/>
  <c r="L31" i="8"/>
  <c r="L32" i="8"/>
  <c r="L33" i="8"/>
  <c r="L34" i="8"/>
  <c r="L35" i="8"/>
  <c r="L36" i="8"/>
  <c r="L37" i="8"/>
  <c r="L38" i="8"/>
  <c r="L39" i="8"/>
  <c r="L40" i="8"/>
  <c r="L41" i="8"/>
  <c r="L42" i="8"/>
  <c r="L43" i="8"/>
  <c r="L44" i="8"/>
  <c r="L45" i="8"/>
  <c r="L46" i="8"/>
  <c r="L47" i="8"/>
  <c r="L48" i="8"/>
  <c r="L49" i="8"/>
  <c r="L50" i="8"/>
  <c r="L51" i="8"/>
  <c r="L52" i="8"/>
  <c r="L53" i="8"/>
  <c r="L54" i="8"/>
  <c r="L55" i="8"/>
  <c r="L56" i="8"/>
  <c r="L57" i="8"/>
  <c r="L58" i="8"/>
  <c r="L59" i="8"/>
  <c r="L60" i="8"/>
  <c r="L61" i="8"/>
  <c r="L62" i="8"/>
  <c r="L63" i="8"/>
  <c r="L64" i="8"/>
  <c r="L65" i="8"/>
  <c r="L66" i="8"/>
  <c r="L67" i="8"/>
  <c r="L68" i="8"/>
  <c r="L69" i="8"/>
  <c r="L70" i="8"/>
  <c r="L71" i="8"/>
  <c r="L72" i="8"/>
  <c r="L73" i="8"/>
  <c r="L74" i="8"/>
  <c r="L75" i="8"/>
  <c r="L76" i="8"/>
  <c r="L77" i="8"/>
  <c r="L78" i="8"/>
  <c r="L79" i="8"/>
  <c r="L80" i="8"/>
  <c r="L81" i="8"/>
  <c r="L82" i="8"/>
  <c r="L83" i="8"/>
  <c r="L84" i="8"/>
  <c r="L85" i="8"/>
  <c r="L86" i="8"/>
  <c r="L87" i="8"/>
  <c r="L88" i="8"/>
  <c r="L89" i="8"/>
  <c r="L90" i="8"/>
  <c r="L91" i="8"/>
  <c r="L92" i="8"/>
  <c r="L93" i="8"/>
  <c r="L94" i="8"/>
  <c r="L95" i="8"/>
  <c r="L96" i="8"/>
  <c r="L97" i="8"/>
  <c r="L98" i="8"/>
  <c r="L99" i="8"/>
  <c r="L100" i="8"/>
  <c r="L101" i="8"/>
  <c r="L102" i="8"/>
  <c r="L103" i="8"/>
  <c r="L104" i="8"/>
  <c r="L105" i="8"/>
  <c r="L106" i="8"/>
  <c r="L107" i="8"/>
  <c r="L108" i="8"/>
  <c r="L109" i="8"/>
  <c r="L110" i="8"/>
  <c r="L111" i="8"/>
  <c r="L112" i="8"/>
  <c r="L113" i="8"/>
  <c r="L114" i="8"/>
  <c r="L115" i="8"/>
  <c r="L116" i="8"/>
  <c r="L117" i="8"/>
  <c r="L118" i="8"/>
  <c r="L119" i="8"/>
  <c r="L120" i="8"/>
  <c r="L121" i="8"/>
  <c r="K3" i="8"/>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2" i="8"/>
  <c r="J3" i="8"/>
  <c r="J4"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J93" i="8"/>
  <c r="J94" i="8"/>
  <c r="J95" i="8"/>
  <c r="J96" i="8"/>
  <c r="J97" i="8"/>
  <c r="J98" i="8"/>
  <c r="J99" i="8"/>
  <c r="J100" i="8"/>
  <c r="J101" i="8"/>
  <c r="J102" i="8"/>
  <c r="J103" i="8"/>
  <c r="J104" i="8"/>
  <c r="J105" i="8"/>
  <c r="J106" i="8"/>
  <c r="J107" i="8"/>
  <c r="J108" i="8"/>
  <c r="J109" i="8"/>
  <c r="J110" i="8"/>
  <c r="J111" i="8"/>
  <c r="J112" i="8"/>
  <c r="J113" i="8"/>
  <c r="J114" i="8"/>
  <c r="J115" i="8"/>
  <c r="J116" i="8"/>
  <c r="J117" i="8"/>
  <c r="J118" i="8"/>
  <c r="J119" i="8"/>
  <c r="J120" i="8"/>
  <c r="J121" i="8"/>
  <c r="J2" i="8"/>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19" i="8"/>
  <c r="I120" i="8"/>
  <c r="I121" i="8"/>
  <c r="I2" i="8"/>
  <c r="H2" i="8"/>
  <c r="H3" i="8"/>
  <c r="H4" i="8"/>
  <c r="H5"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109" i="8"/>
  <c r="H110" i="8"/>
  <c r="H111" i="8"/>
  <c r="H112" i="8"/>
  <c r="H113" i="8"/>
  <c r="H114" i="8"/>
  <c r="H115" i="8"/>
  <c r="H116" i="8"/>
  <c r="H117" i="8"/>
  <c r="H118" i="8"/>
  <c r="H119" i="8"/>
  <c r="H120" i="8"/>
  <c r="H121" i="8"/>
  <c r="G3" i="8"/>
  <c r="G4" i="8"/>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G104" i="8"/>
  <c r="G105" i="8"/>
  <c r="G106" i="8"/>
  <c r="G107" i="8"/>
  <c r="G108" i="8"/>
  <c r="G109" i="8"/>
  <c r="G110" i="8"/>
  <c r="G111" i="8"/>
  <c r="G112" i="8"/>
  <c r="G113" i="8"/>
  <c r="G114" i="8"/>
  <c r="G115" i="8"/>
  <c r="G116" i="8"/>
  <c r="G117" i="8"/>
  <c r="G118" i="8"/>
  <c r="G119" i="8"/>
  <c r="G120" i="8"/>
  <c r="G121" i="8"/>
  <c r="G2" i="8"/>
  <c r="F3" i="8"/>
  <c r="F4" i="8"/>
  <c r="F5" i="8"/>
  <c r="F6" i="8"/>
  <c r="F7" i="8"/>
  <c r="F8" i="8"/>
  <c r="F9" i="8"/>
  <c r="F10" i="8"/>
  <c r="F11" i="8"/>
  <c r="F12" i="8"/>
  <c r="F13" i="8"/>
  <c r="F14" i="8"/>
  <c r="F15" i="8"/>
  <c r="F16" i="8"/>
  <c r="F17" i="8"/>
  <c r="F18" i="8"/>
  <c r="F19" i="8"/>
  <c r="F20" i="8"/>
  <c r="F21" i="8"/>
  <c r="F22" i="8"/>
  <c r="F23" i="8"/>
  <c r="F24" i="8"/>
  <c r="F25" i="8"/>
  <c r="F26" i="8"/>
  <c r="F27" i="8"/>
  <c r="F28" i="8"/>
  <c r="F29" i="8"/>
  <c r="F30" i="8"/>
  <c r="F31" i="8"/>
  <c r="F32" i="8"/>
  <c r="F33" i="8"/>
  <c r="F34" i="8"/>
  <c r="F35" i="8"/>
  <c r="F36" i="8"/>
  <c r="F37" i="8"/>
  <c r="F38" i="8"/>
  <c r="F39" i="8"/>
  <c r="F40" i="8"/>
  <c r="F41" i="8"/>
  <c r="F42" i="8"/>
  <c r="F43" i="8"/>
  <c r="F44" i="8"/>
  <c r="F45" i="8"/>
  <c r="F46" i="8"/>
  <c r="F47" i="8"/>
  <c r="F48" i="8"/>
  <c r="F49" i="8"/>
  <c r="F50" i="8"/>
  <c r="F51" i="8"/>
  <c r="F52" i="8"/>
  <c r="F53" i="8"/>
  <c r="F54" i="8"/>
  <c r="F55" i="8"/>
  <c r="F56" i="8"/>
  <c r="F57" i="8"/>
  <c r="F58" i="8"/>
  <c r="F59" i="8"/>
  <c r="F60" i="8"/>
  <c r="F61" i="8"/>
  <c r="F62" i="8"/>
  <c r="F63" i="8"/>
  <c r="F64" i="8"/>
  <c r="F65" i="8"/>
  <c r="F66" i="8"/>
  <c r="F67" i="8"/>
  <c r="F68" i="8"/>
  <c r="F69" i="8"/>
  <c r="F70" i="8"/>
  <c r="F71" i="8"/>
  <c r="F72" i="8"/>
  <c r="F73" i="8"/>
  <c r="F74" i="8"/>
  <c r="F75" i="8"/>
  <c r="F76" i="8"/>
  <c r="F77" i="8"/>
  <c r="F78" i="8"/>
  <c r="F79" i="8"/>
  <c r="F80" i="8"/>
  <c r="F81" i="8"/>
  <c r="F82" i="8"/>
  <c r="F83" i="8"/>
  <c r="F84" i="8"/>
  <c r="F85" i="8"/>
  <c r="F86" i="8"/>
  <c r="F87" i="8"/>
  <c r="F88" i="8"/>
  <c r="F89" i="8"/>
  <c r="F90" i="8"/>
  <c r="F91" i="8"/>
  <c r="F92" i="8"/>
  <c r="F93" i="8"/>
  <c r="F94" i="8"/>
  <c r="F95" i="8"/>
  <c r="F96" i="8"/>
  <c r="F97" i="8"/>
  <c r="F98" i="8"/>
  <c r="F99" i="8"/>
  <c r="F100" i="8"/>
  <c r="F101" i="8"/>
  <c r="F102" i="8"/>
  <c r="F103" i="8"/>
  <c r="F104" i="8"/>
  <c r="F105" i="8"/>
  <c r="F106" i="8"/>
  <c r="F107" i="8"/>
  <c r="F108" i="8"/>
  <c r="F109" i="8"/>
  <c r="F110" i="8"/>
  <c r="F111" i="8"/>
  <c r="F112" i="8"/>
  <c r="F113" i="8"/>
  <c r="F114" i="8"/>
  <c r="F115" i="8"/>
  <c r="F116" i="8"/>
  <c r="F117" i="8"/>
  <c r="F118" i="8"/>
  <c r="F119" i="8"/>
  <c r="F120" i="8"/>
  <c r="F121" i="8"/>
  <c r="F2"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2"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2" i="8"/>
  <c r="C2" i="8"/>
  <c r="B2"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3"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alcChain>
</file>

<file path=xl/sharedStrings.xml><?xml version="1.0" encoding="utf-8"?>
<sst xmlns="http://schemas.openxmlformats.org/spreadsheetml/2006/main" count="1567" uniqueCount="306">
  <si>
    <t>Student Career Outcomes &amp; Engagement Dashboard Dataset</t>
  </si>
  <si>
    <t>Purpose</t>
  </si>
  <si>
    <t>Synthetic dataset built to demonstrate Excel data organization, INDEX/MATCH lookups, summary analysis, and dashboard-ready reporting.</t>
  </si>
  <si>
    <t>Sheets</t>
  </si>
  <si>
    <t>Students, Engagement, Outcomes are source sheets. Master_Data combines them using INDEX/MATCH. Summary_Analysis powers the Dashboard.</t>
  </si>
  <si>
    <t>How to use</t>
  </si>
  <si>
    <t>Open Master_Data to review formulas. Open Dashboard to see KPI cards and charts. Edit source sheets to test formula updates.</t>
  </si>
  <si>
    <t>Rows</t>
  </si>
  <si>
    <t>120 synthetic student records</t>
  </si>
  <si>
    <t>Key skills shown</t>
  </si>
  <si>
    <t>Excel formulas, INDEX/MATCH, COUNTIFS, AVERAGEIFS, IF logic, structured workbook design, charting</t>
  </si>
  <si>
    <t>Student_ID</t>
  </si>
  <si>
    <t>Student_Name</t>
  </si>
  <si>
    <t>Major</t>
  </si>
  <si>
    <t>Degree_Level</t>
  </si>
  <si>
    <t>Graduation_Year</t>
  </si>
  <si>
    <t>GPA</t>
  </si>
  <si>
    <t>International_Status</t>
  </si>
  <si>
    <t>S001</t>
  </si>
  <si>
    <t>Morgan Smith</t>
  </si>
  <si>
    <t>Finance</t>
  </si>
  <si>
    <t>Undergraduate</t>
  </si>
  <si>
    <t>No</t>
  </si>
  <si>
    <t>S002</t>
  </si>
  <si>
    <t>Rowan Brown</t>
  </si>
  <si>
    <t>Data Science</t>
  </si>
  <si>
    <t>S003</t>
  </si>
  <si>
    <t>Rowan Miller</t>
  </si>
  <si>
    <t>Graduate</t>
  </si>
  <si>
    <t>Yes</t>
  </si>
  <si>
    <t>S004</t>
  </si>
  <si>
    <t>Alex Garcia</t>
  </si>
  <si>
    <t>S005</t>
  </si>
  <si>
    <t>Taylor Martin</t>
  </si>
  <si>
    <t>Business Analytics</t>
  </si>
  <si>
    <t>S006</t>
  </si>
  <si>
    <t>Rowan Lee</t>
  </si>
  <si>
    <t>Marketing</t>
  </si>
  <si>
    <t>S007</t>
  </si>
  <si>
    <t>Parker Walker</t>
  </si>
  <si>
    <t>S008</t>
  </si>
  <si>
    <t>Cameron Lee</t>
  </si>
  <si>
    <t>Computer Science</t>
  </si>
  <si>
    <t>S009</t>
  </si>
  <si>
    <t>Drew Brown</t>
  </si>
  <si>
    <t>S010</t>
  </si>
  <si>
    <t>Rowan Davis</t>
  </si>
  <si>
    <t>S011</t>
  </si>
  <si>
    <t>Skyler Martin</t>
  </si>
  <si>
    <t>S012</t>
  </si>
  <si>
    <t>Emerson Martin</t>
  </si>
  <si>
    <t>S013</t>
  </si>
  <si>
    <t>Rowan Wilson</t>
  </si>
  <si>
    <t>S014</t>
  </si>
  <si>
    <t>Casey Clark</t>
  </si>
  <si>
    <t>Economics</t>
  </si>
  <si>
    <t>S015</t>
  </si>
  <si>
    <t>Quinn Hall</t>
  </si>
  <si>
    <t>S016</t>
  </si>
  <si>
    <t>Alex Lee</t>
  </si>
  <si>
    <t>S017</t>
  </si>
  <si>
    <t>Quinn Garcia</t>
  </si>
  <si>
    <t>S018</t>
  </si>
  <si>
    <t>Riley Clark</t>
  </si>
  <si>
    <t>S019</t>
  </si>
  <si>
    <t>Casey Moore</t>
  </si>
  <si>
    <t>S020</t>
  </si>
  <si>
    <t>Skyler Harris</t>
  </si>
  <si>
    <t>S021</t>
  </si>
  <si>
    <t>Jordan Davis</t>
  </si>
  <si>
    <t>S022</t>
  </si>
  <si>
    <t>Rowan Patel</t>
  </si>
  <si>
    <t>S023</t>
  </si>
  <si>
    <t>Quinn Miller</t>
  </si>
  <si>
    <t>S024</t>
  </si>
  <si>
    <t>Parker White</t>
  </si>
  <si>
    <t>S025</t>
  </si>
  <si>
    <t>S026</t>
  </si>
  <si>
    <t>Jordan Thomas</t>
  </si>
  <si>
    <t>S027</t>
  </si>
  <si>
    <t>Elliot Walker</t>
  </si>
  <si>
    <t>S028</t>
  </si>
  <si>
    <t>Quinn Moore</t>
  </si>
  <si>
    <t>S029</t>
  </si>
  <si>
    <t>Morgan Johnson</t>
  </si>
  <si>
    <t>S030</t>
  </si>
  <si>
    <t>Hayden Patel</t>
  </si>
  <si>
    <t>S031</t>
  </si>
  <si>
    <t>S032</t>
  </si>
  <si>
    <t>Cameron Garcia</t>
  </si>
  <si>
    <t>S033</t>
  </si>
  <si>
    <t>Alex Martin</t>
  </si>
  <si>
    <t>S034</t>
  </si>
  <si>
    <t>Rowan Harris</t>
  </si>
  <si>
    <t>S035</t>
  </si>
  <si>
    <t>Skyler Johnson</t>
  </si>
  <si>
    <t>S036</t>
  </si>
  <si>
    <t>Blake Brown</t>
  </si>
  <si>
    <t>S037</t>
  </si>
  <si>
    <t>Elliot Davis</t>
  </si>
  <si>
    <t>S038</t>
  </si>
  <si>
    <t>Skyler Wilson</t>
  </si>
  <si>
    <t>S039</t>
  </si>
  <si>
    <t>Logan White</t>
  </si>
  <si>
    <t>S040</t>
  </si>
  <si>
    <t>Morgan Brown</t>
  </si>
  <si>
    <t>S041</t>
  </si>
  <si>
    <t>Cameron Moore</t>
  </si>
  <si>
    <t>S042</t>
  </si>
  <si>
    <t>Blake Smith</t>
  </si>
  <si>
    <t>S043</t>
  </si>
  <si>
    <t>Drew Lee</t>
  </si>
  <si>
    <t>S044</t>
  </si>
  <si>
    <t>Skyler Miller</t>
  </si>
  <si>
    <t>S045</t>
  </si>
  <si>
    <t>Jordan Brown</t>
  </si>
  <si>
    <t>S046</t>
  </si>
  <si>
    <t>Drew Garcia</t>
  </si>
  <si>
    <t>S047</t>
  </si>
  <si>
    <t>Casey Lewis</t>
  </si>
  <si>
    <t>S048</t>
  </si>
  <si>
    <t>Parker Johnson</t>
  </si>
  <si>
    <t>S049</t>
  </si>
  <si>
    <t>S050</t>
  </si>
  <si>
    <t>Riley Jackson</t>
  </si>
  <si>
    <t>S051</t>
  </si>
  <si>
    <t>Cameron Wilson</t>
  </si>
  <si>
    <t>S052</t>
  </si>
  <si>
    <t>Avery White</t>
  </si>
  <si>
    <t>S053</t>
  </si>
  <si>
    <t>Reese Thomas</t>
  </si>
  <si>
    <t>S054</t>
  </si>
  <si>
    <t>Rowan Thomas</t>
  </si>
  <si>
    <t>S055</t>
  </si>
  <si>
    <t>Drew Johnson</t>
  </si>
  <si>
    <t>S056</t>
  </si>
  <si>
    <t>Blake Lee</t>
  </si>
  <si>
    <t>S057</t>
  </si>
  <si>
    <t>S058</t>
  </si>
  <si>
    <t>Morgan Anderson</t>
  </si>
  <si>
    <t>S059</t>
  </si>
  <si>
    <t>Avery Jackson</t>
  </si>
  <si>
    <t>S060</t>
  </si>
  <si>
    <t>Reese Lewis</t>
  </si>
  <si>
    <t>S061</t>
  </si>
  <si>
    <t>Skyler White</t>
  </si>
  <si>
    <t>S062</t>
  </si>
  <si>
    <t>Riley Brown</t>
  </si>
  <si>
    <t>S063</t>
  </si>
  <si>
    <t>Cameron Anderson</t>
  </si>
  <si>
    <t>S064</t>
  </si>
  <si>
    <t>Taylor White</t>
  </si>
  <si>
    <t>S065</t>
  </si>
  <si>
    <t>Cameron Patel</t>
  </si>
  <si>
    <t>S066</t>
  </si>
  <si>
    <t>Quinn Davis</t>
  </si>
  <si>
    <t>S067</t>
  </si>
  <si>
    <t>Morgan White</t>
  </si>
  <si>
    <t>S068</t>
  </si>
  <si>
    <t>Hayden Hall</t>
  </si>
  <si>
    <t>S069</t>
  </si>
  <si>
    <t>Riley Harris</t>
  </si>
  <si>
    <t>S070</t>
  </si>
  <si>
    <t>Emerson Davis</t>
  </si>
  <si>
    <t>S071</t>
  </si>
  <si>
    <t>S072</t>
  </si>
  <si>
    <t>Quinn Thomas</t>
  </si>
  <si>
    <t>S073</t>
  </si>
  <si>
    <t>Elliot Smith</t>
  </si>
  <si>
    <t>S074</t>
  </si>
  <si>
    <t>Reese Jackson</t>
  </si>
  <si>
    <t>S075</t>
  </si>
  <si>
    <t>Drew Jackson</t>
  </si>
  <si>
    <t>S076</t>
  </si>
  <si>
    <t>S077</t>
  </si>
  <si>
    <t>Taylor Jackson</t>
  </si>
  <si>
    <t>S078</t>
  </si>
  <si>
    <t>Skyler Thomas</t>
  </si>
  <si>
    <t>S079</t>
  </si>
  <si>
    <t>Taylor Harris</t>
  </si>
  <si>
    <t>S080</t>
  </si>
  <si>
    <t>Jordan Smith</t>
  </si>
  <si>
    <t>S081</t>
  </si>
  <si>
    <t>Morgan Walker</t>
  </si>
  <si>
    <t>S082</t>
  </si>
  <si>
    <t>Morgan Garcia</t>
  </si>
  <si>
    <t>S083</t>
  </si>
  <si>
    <t>Reese Martin</t>
  </si>
  <si>
    <t>S084</t>
  </si>
  <si>
    <t>Logan Hall</t>
  </si>
  <si>
    <t>S085</t>
  </si>
  <si>
    <t>Parker Brown</t>
  </si>
  <si>
    <t>S086</t>
  </si>
  <si>
    <t>S087</t>
  </si>
  <si>
    <t>S088</t>
  </si>
  <si>
    <t>Taylor Wilson</t>
  </si>
  <si>
    <t>S089</t>
  </si>
  <si>
    <t>Alex Harris</t>
  </si>
  <si>
    <t>S090</t>
  </si>
  <si>
    <t>Jamie Wilson</t>
  </si>
  <si>
    <t>S091</t>
  </si>
  <si>
    <t>S092</t>
  </si>
  <si>
    <t>Cameron Martin</t>
  </si>
  <si>
    <t>S093</t>
  </si>
  <si>
    <t>Quinn Lewis</t>
  </si>
  <si>
    <t>S094</t>
  </si>
  <si>
    <t>Avery Thomas</t>
  </si>
  <si>
    <t>S095</t>
  </si>
  <si>
    <t>Emerson Wilson</t>
  </si>
  <si>
    <t>S096</t>
  </si>
  <si>
    <t>Avery Anderson</t>
  </si>
  <si>
    <t>S097</t>
  </si>
  <si>
    <t>Jordan Lewis</t>
  </si>
  <si>
    <t>S098</t>
  </si>
  <si>
    <t>Alex Walker</t>
  </si>
  <si>
    <t>S099</t>
  </si>
  <si>
    <t>Emerson Lee</t>
  </si>
  <si>
    <t>S100</t>
  </si>
  <si>
    <t>Casey Walker</t>
  </si>
  <si>
    <t>S101</t>
  </si>
  <si>
    <t>Jamie Hall</t>
  </si>
  <si>
    <t>S102</t>
  </si>
  <si>
    <t>Quinn Anderson</t>
  </si>
  <si>
    <t>S103</t>
  </si>
  <si>
    <t>Avery Wilson</t>
  </si>
  <si>
    <t>S104</t>
  </si>
  <si>
    <t>S105</t>
  </si>
  <si>
    <t>Taylor Davis</t>
  </si>
  <si>
    <t>S106</t>
  </si>
  <si>
    <t>Quinn Lee</t>
  </si>
  <si>
    <t>S107</t>
  </si>
  <si>
    <t>Riley Anderson</t>
  </si>
  <si>
    <t>S108</t>
  </si>
  <si>
    <t>Logan Martin</t>
  </si>
  <si>
    <t>S109</t>
  </si>
  <si>
    <t>S110</t>
  </si>
  <si>
    <t>S111</t>
  </si>
  <si>
    <t>Emerson Clark</t>
  </si>
  <si>
    <t>S112</t>
  </si>
  <si>
    <t>Emerson Brown</t>
  </si>
  <si>
    <t>S113</t>
  </si>
  <si>
    <t>Quinn Harris</t>
  </si>
  <si>
    <t>S114</t>
  </si>
  <si>
    <t>S115</t>
  </si>
  <si>
    <t>Rowan White</t>
  </si>
  <si>
    <t>S116</t>
  </si>
  <si>
    <t>Jordan Miller</t>
  </si>
  <si>
    <t>S117</t>
  </si>
  <si>
    <t>Alex Hall</t>
  </si>
  <si>
    <t>S118</t>
  </si>
  <si>
    <t>S119</t>
  </si>
  <si>
    <t>Blake Wilson</t>
  </si>
  <si>
    <t>S120</t>
  </si>
  <si>
    <t>Avery Hall</t>
  </si>
  <si>
    <t>Workshops_Attended</t>
  </si>
  <si>
    <t>Resume_Reviews</t>
  </si>
  <si>
    <t>Mock_Interviews</t>
  </si>
  <si>
    <t>Career_Fair_Attendance</t>
  </si>
  <si>
    <t>Internship_Status</t>
  </si>
  <si>
    <t>Employment_Status</t>
  </si>
  <si>
    <t>Employment_Type</t>
  </si>
  <si>
    <t>Industry</t>
  </si>
  <si>
    <t>Salary</t>
  </si>
  <si>
    <t>Months_to_Employment</t>
  </si>
  <si>
    <t>Employed</t>
  </si>
  <si>
    <t>Part-Time</t>
  </si>
  <si>
    <t>Seeking</t>
  </si>
  <si>
    <t>NA</t>
  </si>
  <si>
    <t>Technology</t>
  </si>
  <si>
    <t>Full-Time</t>
  </si>
  <si>
    <t>Education</t>
  </si>
  <si>
    <t>Healthcare</t>
  </si>
  <si>
    <t>Internship</t>
  </si>
  <si>
    <t>Continuing Education</t>
  </si>
  <si>
    <t>Consulting</t>
  </si>
  <si>
    <t>Retail</t>
  </si>
  <si>
    <t>Total_Engagement</t>
  </si>
  <si>
    <t>Summary Analysis</t>
  </si>
  <si>
    <t>KPI</t>
  </si>
  <si>
    <t>Value</t>
  </si>
  <si>
    <t>Total Students</t>
  </si>
  <si>
    <t>% Employed</t>
  </si>
  <si>
    <t>% with Internship</t>
  </si>
  <si>
    <t>Average Salary</t>
  </si>
  <si>
    <t>Average Engagement</t>
  </si>
  <si>
    <t>Employment Status</t>
  </si>
  <si>
    <t>Student Career Outcomes &amp; Engagement Dashboard</t>
  </si>
  <si>
    <t>Outcome</t>
  </si>
  <si>
    <t>Salary Band</t>
  </si>
  <si>
    <t>Row Labels</t>
  </si>
  <si>
    <t>Grand Total</t>
  </si>
  <si>
    <t>Further Study</t>
  </si>
  <si>
    <t>Positive Outcome</t>
  </si>
  <si>
    <t>% of Students</t>
  </si>
  <si>
    <t>Student Count</t>
  </si>
  <si>
    <t>Emplyment Status</t>
  </si>
  <si>
    <t>Total CCC events/sessions</t>
  </si>
  <si>
    <t>Average of Salary</t>
  </si>
  <si>
    <t>Avg Salary by Major</t>
  </si>
  <si>
    <t>Engagemnet by Employment Outcome</t>
  </si>
  <si>
    <t>Employment Status by Majors</t>
  </si>
  <si>
    <t>Majors</t>
  </si>
  <si>
    <t>Industry Distribution</t>
  </si>
  <si>
    <t>Emplyment vs Major</t>
  </si>
  <si>
    <t>Industry Distribution of Employed Students</t>
  </si>
  <si>
    <t>No. of CCC events attended vs Employment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</si>
</sst>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0.0%"/>
    <numFmt numFmtId="165" formatCode="\$#,##0"/>
    <numFmt numFmtId="166" formatCode="0.0"/>
    <numFmt numFmtId="167" formatCode="&quot;$&quot;#,##0"/>
    <numFmt numFmtId="168" formatCode="_(&quot;$&quot;* #,##0_);_(&quot;$&quot;* \(#,##0\);_(&quot;$&quot;* &quot;-&quot;??_);_(@_)"/>
  </numFmts>
  <fonts count="8" x14ac:knownFonts="1">
    <font>
      <sz val="11"/>
      <color theme="1"/>
      <name val="Calibri"/>
      <family val="2"/>
      <scheme val="minor"/>
    </font>
    <font>
      <b/>
      <sz val="16"/>
      <color rgb="FFFFFFFF"/>
      <name val="Calibri"/>
    </font>
    <font>
      <b/>
      <sz val="11"/>
      <name val="Calibri"/>
    </font>
    <font>
      <b/>
      <sz val="18"/>
      <color rgb="FFFFFFFF"/>
      <name val="Calibri"/>
    </font>
    <font>
      <sz val="8"/>
      <name val="Calibri"/>
      <family val="2"/>
      <scheme val="minor"/>
    </font>
    <font>
      <sz val="11"/>
      <color theme="1"/>
      <name val="Calibri"/>
      <family val="2"/>
      <scheme val="minor"/>
    </font>
    <font>
      <b/>
      <sz val="20"/>
      <color theme="0"/>
      <name val="Calibri"/>
      <family val="2"/>
    </font>
    <font>
      <b/>
      <sz val="20"/>
      <color rgb="FF1F4E78"/>
      <name val="Calibri"/>
      <family val="2"/>
    </font>
  </fonts>
  <fills count="8">
    <fill>
      <patternFill patternType="none"/>
    </fill>
    <fill>
      <patternFill patternType="gray125"/>
    </fill>
    <fill>
      <patternFill patternType="solid">
        <fgColor rgb="FF1F4E78"/>
      </patternFill>
    </fill>
    <fill>
      <patternFill patternType="solid">
        <fgColor rgb="FFD9EAF7"/>
      </patternFill>
    </fill>
    <fill>
      <patternFill patternType="solid">
        <fgColor rgb="FFDDEBF7"/>
      </patternFill>
    </fill>
    <fill>
      <patternFill patternType="solid">
        <fgColor rgb="FFF68426"/>
        <bgColor indexed="64"/>
      </patternFill>
    </fill>
    <fill>
      <patternFill patternType="solid">
        <fgColor rgb="FFFFFF00"/>
        <bgColor indexed="64"/>
      </patternFill>
    </fill>
    <fill>
      <patternFill patternType="solid">
        <fgColor theme="9" tint="-0.249977111117893"/>
        <bgColor indexed="64"/>
      </patternFill>
    </fill>
  </fills>
  <borders count="11">
    <border>
      <left/>
      <right/>
      <top/>
      <bottom/>
      <diagonal/>
    </border>
    <border>
      <left/>
      <right/>
      <top/>
      <bottom style="thin">
        <color rgb="FFC9C9C9"/>
      </bottom>
      <diagonal/>
    </border>
    <border>
      <left/>
      <right/>
      <top/>
      <bottom style="thin">
        <color rgb="FFC9C9C9"/>
      </bottom>
      <diagonal/>
    </border>
    <border>
      <left/>
      <right/>
      <top style="thin">
        <color rgb="FFC9C9C9"/>
      </top>
      <bottom/>
      <diagonal/>
    </border>
    <border>
      <left/>
      <right style="thin">
        <color rgb="FFC9C9C9"/>
      </right>
      <top style="thin">
        <color rgb="FFC9C9C9"/>
      </top>
      <bottom/>
      <diagonal/>
    </border>
    <border>
      <left style="thin">
        <color rgb="FFC9C9C9"/>
      </left>
      <right/>
      <top/>
      <bottom style="thin">
        <color rgb="FFC9C9C9"/>
      </bottom>
      <diagonal/>
    </border>
    <border>
      <left/>
      <right style="thin">
        <color rgb="FFC9C9C9"/>
      </right>
      <top/>
      <bottom style="thin">
        <color rgb="FFC9C9C9"/>
      </bottom>
      <diagonal/>
    </border>
    <border>
      <left style="thin">
        <color rgb="FFC9C9C9"/>
      </left>
      <right/>
      <top style="thin">
        <color rgb="FFC9C9C9"/>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44" fontId="5" fillId="0" borderId="0" applyFont="0" applyFill="0" applyBorder="0" applyAlignment="0" applyProtection="0"/>
    <xf numFmtId="9" fontId="5" fillId="0" borderId="0" applyFont="0" applyFill="0" applyBorder="0" applyAlignment="0" applyProtection="0"/>
  </cellStyleXfs>
  <cellXfs count="51">
    <xf numFmtId="0" fontId="0" fillId="0" borderId="0" xfId="0"/>
    <xf numFmtId="0" fontId="2" fillId="3" borderId="0" xfId="0" applyFont="1" applyFill="1"/>
    <xf numFmtId="0" fontId="0" fillId="0" borderId="1" xfId="0" applyBorder="1"/>
    <xf numFmtId="164" fontId="0" fillId="0" borderId="1" xfId="0" applyNumberFormat="1" applyBorder="1"/>
    <xf numFmtId="165" fontId="0" fillId="0" borderId="1" xfId="0" applyNumberFormat="1" applyBorder="1"/>
    <xf numFmtId="166" fontId="0" fillId="0" borderId="1" xfId="0" applyNumberFormat="1" applyBorder="1"/>
    <xf numFmtId="167" fontId="0" fillId="0" borderId="0" xfId="0" applyNumberFormat="1"/>
    <xf numFmtId="0" fontId="0" fillId="0" borderId="0" xfId="0" pivotButton="1"/>
    <xf numFmtId="0" fontId="0" fillId="0" borderId="0" xfId="0" applyAlignment="1">
      <alignment horizontal="left"/>
    </xf>
    <xf numFmtId="10" fontId="0" fillId="0" borderId="0" xfId="0" applyNumberFormat="1"/>
    <xf numFmtId="44" fontId="0" fillId="0" borderId="0" xfId="0" applyNumberFormat="1"/>
    <xf numFmtId="0" fontId="2" fillId="5" borderId="1" xfId="0" applyFont="1" applyFill="1" applyBorder="1"/>
    <xf numFmtId="0" fontId="0" fillId="0" borderId="0" xfId="0" applyAlignment="1">
      <alignment horizontal="center"/>
    </xf>
    <xf numFmtId="0" fontId="1" fillId="2" borderId="0" xfId="0" applyFont="1" applyFill="1" applyAlignment="1">
      <alignment horizontal="left"/>
    </xf>
    <xf numFmtId="0" fontId="0" fillId="0" borderId="0" xfId="0"/>
    <xf numFmtId="0" fontId="0" fillId="5" borderId="0" xfId="0" applyFill="1" applyAlignment="1">
      <alignment horizontal="center"/>
    </xf>
    <xf numFmtId="0" fontId="1" fillId="2" borderId="1" xfId="0" applyFont="1" applyFill="1" applyBorder="1"/>
    <xf numFmtId="0" fontId="0" fillId="0" borderId="2" xfId="0" applyBorder="1"/>
    <xf numFmtId="0" fontId="3" fillId="2" borderId="0" xfId="0" applyFont="1" applyFill="1" applyAlignment="1">
      <alignment horizontal="center" vertical="center"/>
    </xf>
    <xf numFmtId="0" fontId="6" fillId="7" borderId="7" xfId="0" applyFont="1" applyFill="1" applyBorder="1" applyAlignment="1">
      <alignment horizontal="center" vertical="center" wrapText="1"/>
    </xf>
    <xf numFmtId="0" fontId="6" fillId="7" borderId="3" xfId="0" applyFont="1" applyFill="1" applyBorder="1" applyAlignment="1">
      <alignment horizontal="center" vertical="center" wrapText="1"/>
    </xf>
    <xf numFmtId="0" fontId="6" fillId="7" borderId="5"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7" fillId="4" borderId="7"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7" fillId="4" borderId="5"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7" fillId="4" borderId="6" xfId="0" applyFont="1" applyFill="1" applyBorder="1" applyAlignment="1">
      <alignment horizontal="center" vertical="center" wrapText="1"/>
    </xf>
    <xf numFmtId="9" fontId="7" fillId="4" borderId="7" xfId="2" applyFont="1" applyFill="1" applyBorder="1" applyAlignment="1">
      <alignment horizontal="center" vertical="center" wrapText="1"/>
    </xf>
    <xf numFmtId="9" fontId="7" fillId="4" borderId="3" xfId="2" applyFont="1" applyFill="1" applyBorder="1" applyAlignment="1">
      <alignment horizontal="center" vertical="center" wrapText="1"/>
    </xf>
    <xf numFmtId="9" fontId="7" fillId="4" borderId="4" xfId="2" applyFont="1" applyFill="1" applyBorder="1" applyAlignment="1">
      <alignment horizontal="center" vertical="center" wrapText="1"/>
    </xf>
    <xf numFmtId="9" fontId="7" fillId="4" borderId="5" xfId="2" applyFont="1" applyFill="1" applyBorder="1" applyAlignment="1">
      <alignment horizontal="center" vertical="center" wrapText="1"/>
    </xf>
    <xf numFmtId="9" fontId="7" fillId="4" borderId="2" xfId="2" applyFont="1" applyFill="1" applyBorder="1" applyAlignment="1">
      <alignment horizontal="center" vertical="center" wrapText="1"/>
    </xf>
    <xf numFmtId="9" fontId="7" fillId="4" borderId="6" xfId="2" applyFont="1" applyFill="1" applyBorder="1" applyAlignment="1">
      <alignment horizontal="center" vertical="center" wrapText="1"/>
    </xf>
    <xf numFmtId="168" fontId="7" fillId="4" borderId="7" xfId="1" applyNumberFormat="1" applyFont="1" applyFill="1" applyBorder="1" applyAlignment="1">
      <alignment horizontal="center" vertical="center" wrapText="1"/>
    </xf>
    <xf numFmtId="168" fontId="7" fillId="4" borderId="3" xfId="1" applyNumberFormat="1" applyFont="1" applyFill="1" applyBorder="1" applyAlignment="1">
      <alignment horizontal="center" vertical="center" wrapText="1"/>
    </xf>
    <xf numFmtId="168" fontId="7" fillId="4" borderId="4" xfId="1" applyNumberFormat="1" applyFont="1" applyFill="1" applyBorder="1" applyAlignment="1">
      <alignment horizontal="center" vertical="center" wrapText="1"/>
    </xf>
    <xf numFmtId="168" fontId="7" fillId="4" borderId="5" xfId="1" applyNumberFormat="1" applyFont="1" applyFill="1" applyBorder="1" applyAlignment="1">
      <alignment horizontal="center" vertical="center" wrapText="1"/>
    </xf>
    <xf numFmtId="168" fontId="7" fillId="4" borderId="2" xfId="1" applyNumberFormat="1" applyFont="1" applyFill="1" applyBorder="1" applyAlignment="1">
      <alignment horizontal="center" vertical="center" wrapText="1"/>
    </xf>
    <xf numFmtId="168" fontId="7" fillId="4" borderId="6" xfId="1" applyNumberFormat="1" applyFont="1" applyFill="1" applyBorder="1" applyAlignment="1">
      <alignment horizontal="center" vertical="center" wrapText="1"/>
    </xf>
    <xf numFmtId="166" fontId="7" fillId="4" borderId="7" xfId="0" applyNumberFormat="1" applyFont="1" applyFill="1" applyBorder="1" applyAlignment="1">
      <alignment horizontal="center" vertical="center" wrapText="1"/>
    </xf>
    <xf numFmtId="166" fontId="7" fillId="4" borderId="3" xfId="0" applyNumberFormat="1" applyFont="1" applyFill="1" applyBorder="1" applyAlignment="1">
      <alignment horizontal="center" vertical="center" wrapText="1"/>
    </xf>
    <xf numFmtId="166" fontId="7" fillId="4" borderId="5" xfId="0" applyNumberFormat="1" applyFont="1" applyFill="1" applyBorder="1" applyAlignment="1">
      <alignment horizontal="center" vertical="center" wrapText="1"/>
    </xf>
    <xf numFmtId="166" fontId="7" fillId="4" borderId="2" xfId="0" applyNumberFormat="1" applyFont="1" applyFill="1" applyBorder="1" applyAlignment="1">
      <alignment horizontal="center" vertical="center" wrapText="1"/>
    </xf>
    <xf numFmtId="0" fontId="0" fillId="6" borderId="8" xfId="0" applyFill="1" applyBorder="1" applyAlignment="1">
      <alignment horizontal="center"/>
    </xf>
    <xf numFmtId="0" fontId="0" fillId="6" borderId="9" xfId="0" applyFill="1" applyBorder="1" applyAlignment="1">
      <alignment horizontal="center"/>
    </xf>
    <xf numFmtId="0" fontId="0" fillId="6" borderId="10" xfId="0" applyFill="1" applyBorder="1" applyAlignment="1">
      <alignment horizontal="center"/>
    </xf>
    <xf numFmtId="0" fontId="6" fillId="7" borderId="4" xfId="0" applyFont="1" applyFill="1" applyBorder="1" applyAlignment="1">
      <alignment horizontal="center" vertical="center" wrapText="1"/>
    </xf>
    <xf numFmtId="0" fontId="6" fillId="7" borderId="6" xfId="0" applyFont="1" applyFill="1" applyBorder="1" applyAlignment="1">
      <alignment horizontal="center" vertical="center" wrapText="1"/>
    </xf>
    <xf numFmtId="0" fontId="0" fillId="0" borderId="0" xfId="0" applyNumberFormat="1"/>
  </cellXfs>
  <cellStyles count="3">
    <cellStyle name="Currency" xfId="1" builtinId="4"/>
    <cellStyle name="Normal" xfId="0" builtinId="0"/>
    <cellStyle name="Percent" xfId="2" builtinId="5"/>
  </cellStyles>
  <dxfs count="16">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s>
  <tableStyles count="0" defaultTableStyle="TableStyleMedium2" defaultPivotStyle="PivotStyleLight16"/>
  <colors>
    <mruColors>
      <color rgb="FFF6842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[student_career_outcomes_dashboard_dataset.xlsx]Summary_Analysis!PivotTable2</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Summary_Analysis!$B$14:$B$15</c:f>
              <c:strCache>
                <c:ptCount val="1"/>
                <c:pt idx="0">
                  <c:v>Continuing Education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Summary_Analysis!$A$16:$A$20</c:f>
              <c:strCache>
                <c:ptCount val="4"/>
                <c:pt idx="0">
                  <c:v>Business Analytics</c:v>
                </c:pt>
                <c:pt idx="1">
                  <c:v>Economics</c:v>
                </c:pt>
                <c:pt idx="2">
                  <c:v>Finance</c:v>
                </c:pt>
                <c:pt idx="3">
                  <c:v>Marketing</c:v>
                </c:pt>
              </c:strCache>
            </c:strRef>
          </c:cat>
          <c:val>
            <c:numRef>
              <c:f>Summary_Analysis!$B$16:$B$20</c:f>
              <c:numCache>
                <c:formatCode>General</c:formatCode>
                <c:ptCount val="4"/>
                <c:pt idx="0">
                  <c:v>1</c:v>
                </c:pt>
                <c:pt idx="1">
                  <c:v>3</c:v>
                </c:pt>
                <c:pt idx="3">
                  <c:v>1</c:v>
                </c:pt>
              </c:numCache>
            </c:numRef>
          </c:val>
          <c:extLst>
            <c:ext xmlns:c16="http://schemas.microsoft.com/office/drawing/2014/chart" uri="{C3380CC4-5D6E-409C-BE32-E72D297353CC}">
              <c16:uniqueId val="{00000000-F2FC-452B-9BF0-428076E44BF2}"/>
            </c:ext>
          </c:extLst>
        </c:ser>
        <c:ser>
          <c:idx val="1"/>
          <c:order val="1"/>
          <c:tx>
            <c:strRef>
              <c:f>Summary_Analysis!$C$14:$C$15</c:f>
              <c:strCache>
                <c:ptCount val="1"/>
                <c:pt idx="0">
                  <c:v>Employed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Summary_Analysis!$A$16:$A$20</c:f>
              <c:strCache>
                <c:ptCount val="4"/>
                <c:pt idx="0">
                  <c:v>Business Analytics</c:v>
                </c:pt>
                <c:pt idx="1">
                  <c:v>Economics</c:v>
                </c:pt>
                <c:pt idx="2">
                  <c:v>Finance</c:v>
                </c:pt>
                <c:pt idx="3">
                  <c:v>Marketing</c:v>
                </c:pt>
              </c:strCache>
            </c:strRef>
          </c:cat>
          <c:val>
            <c:numRef>
              <c:f>Summary_Analysis!$C$16:$C$20</c:f>
              <c:numCache>
                <c:formatCode>General</c:formatCode>
                <c:ptCount val="4"/>
                <c:pt idx="0">
                  <c:v>15</c:v>
                </c:pt>
                <c:pt idx="1">
                  <c:v>10</c:v>
                </c:pt>
                <c:pt idx="2">
                  <c:v>10</c:v>
                </c:pt>
                <c:pt idx="3">
                  <c:v>8</c:v>
                </c:pt>
              </c:numCache>
            </c:numRef>
          </c:val>
          <c:extLst>
            <c:ext xmlns:c16="http://schemas.microsoft.com/office/drawing/2014/chart" uri="{C3380CC4-5D6E-409C-BE32-E72D297353CC}">
              <c16:uniqueId val="{00000001-F77D-4FE4-B638-4F945ACC852B}"/>
            </c:ext>
          </c:extLst>
        </c:ser>
        <c:ser>
          <c:idx val="2"/>
          <c:order val="2"/>
          <c:tx>
            <c:strRef>
              <c:f>Summary_Analysis!$D$14:$D$15</c:f>
              <c:strCache>
                <c:ptCount val="1"/>
                <c:pt idx="0">
                  <c:v>Seeking</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Summary_Analysis!$A$16:$A$20</c:f>
              <c:strCache>
                <c:ptCount val="4"/>
                <c:pt idx="0">
                  <c:v>Business Analytics</c:v>
                </c:pt>
                <c:pt idx="1">
                  <c:v>Economics</c:v>
                </c:pt>
                <c:pt idx="2">
                  <c:v>Finance</c:v>
                </c:pt>
                <c:pt idx="3">
                  <c:v>Marketing</c:v>
                </c:pt>
              </c:strCache>
            </c:strRef>
          </c:cat>
          <c:val>
            <c:numRef>
              <c:f>Summary_Analysis!$D$16:$D$20</c:f>
              <c:numCache>
                <c:formatCode>General</c:formatCode>
                <c:ptCount val="4"/>
                <c:pt idx="0">
                  <c:v>4</c:v>
                </c:pt>
                <c:pt idx="1">
                  <c:v>4</c:v>
                </c:pt>
                <c:pt idx="2">
                  <c:v>6</c:v>
                </c:pt>
                <c:pt idx="3">
                  <c:v>9</c:v>
                </c:pt>
              </c:numCache>
            </c:numRef>
          </c:val>
          <c:extLst>
            <c:ext xmlns:c16="http://schemas.microsoft.com/office/drawing/2014/chart" uri="{C3380CC4-5D6E-409C-BE32-E72D297353CC}">
              <c16:uniqueId val="{00000002-F77D-4FE4-B638-4F945ACC852B}"/>
            </c:ext>
          </c:extLst>
        </c:ser>
        <c:dLbls>
          <c:dLblPos val="outEnd"/>
          <c:showLegendKey val="0"/>
          <c:showVal val="1"/>
          <c:showCatName val="0"/>
          <c:showSerName val="0"/>
          <c:showPercent val="0"/>
          <c:showBubbleSize val="0"/>
        </c:dLbls>
        <c:gapWidth val="219"/>
        <c:overlap val="-27"/>
        <c:axId val="1905815488"/>
        <c:axId val="1905816928"/>
      </c:barChart>
      <c:catAx>
        <c:axId val="190581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816928"/>
        <c:crosses val="autoZero"/>
        <c:auto val="1"/>
        <c:lblAlgn val="ctr"/>
        <c:lblOffset val="100"/>
        <c:noMultiLvlLbl val="0"/>
      </c:catAx>
      <c:valAx>
        <c:axId val="1905816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815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815712437692694"/>
          <c:y val="2.1481041683475595E-2"/>
          <c:w val="0.87818366602600617"/>
          <c:h val="0.866251837690721"/>
        </c:manualLayout>
      </c:layout>
      <c:barChart>
        <c:barDir val="col"/>
        <c:grouping val="clustered"/>
        <c:varyColors val="0"/>
        <c:ser>
          <c:idx val="0"/>
          <c:order val="0"/>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Dashboard!$C$12:$C$19</c:f>
              <c:strCache>
                <c:ptCount val="8"/>
                <c:pt idx="0">
                  <c:v>Consulting</c:v>
                </c:pt>
                <c:pt idx="1">
                  <c:v>Education</c:v>
                </c:pt>
                <c:pt idx="2">
                  <c:v>Finance</c:v>
                </c:pt>
                <c:pt idx="3">
                  <c:v>Healthcare</c:v>
                </c:pt>
                <c:pt idx="4">
                  <c:v>Marketing</c:v>
                </c:pt>
                <c:pt idx="5">
                  <c:v>NA</c:v>
                </c:pt>
                <c:pt idx="6">
                  <c:v>Retail</c:v>
                </c:pt>
                <c:pt idx="7">
                  <c:v>Technology</c:v>
                </c:pt>
              </c:strCache>
            </c:strRef>
          </c:cat>
          <c:val>
            <c:numRef>
              <c:f>Dashboard!$D$12:$D$19</c:f>
              <c:numCache>
                <c:formatCode>General</c:formatCode>
                <c:ptCount val="8"/>
                <c:pt idx="0">
                  <c:v>20</c:v>
                </c:pt>
                <c:pt idx="1">
                  <c:v>5</c:v>
                </c:pt>
                <c:pt idx="2">
                  <c:v>14</c:v>
                </c:pt>
                <c:pt idx="3">
                  <c:v>6</c:v>
                </c:pt>
                <c:pt idx="4">
                  <c:v>10</c:v>
                </c:pt>
                <c:pt idx="5">
                  <c:v>39</c:v>
                </c:pt>
                <c:pt idx="6">
                  <c:v>5</c:v>
                </c:pt>
                <c:pt idx="7">
                  <c:v>21</c:v>
                </c:pt>
              </c:numCache>
            </c:numRef>
          </c:val>
          <c:extLst>
            <c:ext xmlns:c16="http://schemas.microsoft.com/office/drawing/2014/chart" uri="{C3380CC4-5D6E-409C-BE32-E72D297353CC}">
              <c16:uniqueId val="{00000000-1EE2-4838-A658-A7E7CBF995FD}"/>
            </c:ext>
          </c:extLst>
        </c:ser>
        <c:dLbls>
          <c:dLblPos val="outEnd"/>
          <c:showLegendKey val="0"/>
          <c:showVal val="1"/>
          <c:showCatName val="0"/>
          <c:showSerName val="0"/>
          <c:showPercent val="0"/>
          <c:showBubbleSize val="0"/>
        </c:dLbls>
        <c:gapWidth val="219"/>
        <c:overlap val="-27"/>
        <c:axId val="1814965328"/>
        <c:axId val="1814977808"/>
      </c:barChart>
      <c:catAx>
        <c:axId val="181496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977808"/>
        <c:crosses val="autoZero"/>
        <c:auto val="1"/>
        <c:lblAlgn val="ctr"/>
        <c:lblOffset val="100"/>
        <c:noMultiLvlLbl val="0"/>
      </c:catAx>
      <c:valAx>
        <c:axId val="1814977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Student</a:t>
                </a:r>
                <a:r>
                  <a:rPr lang="en-US" baseline="0"/>
                  <a:t>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9653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[student_career_outcomes_dashboard_dataset.xlsx]Summary_Analysis!PivotTable4</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Summary_Analysis!$I$21:$I$22</c:f>
              <c:strCache>
                <c:ptCount val="1"/>
                <c:pt idx="0">
                  <c:v>Further Study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Summary_Analysis!$H$23:$H$35</c:f>
              <c:strCache>
                <c:ptCount val="12"/>
                <c:pt idx="0">
                  <c:v>3</c:v>
                </c:pt>
                <c:pt idx="1">
                  <c:v>4</c:v>
                </c:pt>
                <c:pt idx="2">
                  <c:v>5</c:v>
                </c:pt>
                <c:pt idx="3">
                  <c:v>6</c:v>
                </c:pt>
                <c:pt idx="4">
                  <c:v>7</c:v>
                </c:pt>
                <c:pt idx="5">
                  <c:v>8</c:v>
                </c:pt>
                <c:pt idx="6">
                  <c:v>9</c:v>
                </c:pt>
                <c:pt idx="7">
                  <c:v>10</c:v>
                </c:pt>
                <c:pt idx="8">
                  <c:v>11</c:v>
                </c:pt>
                <c:pt idx="9">
                  <c:v>12</c:v>
                </c:pt>
                <c:pt idx="10">
                  <c:v>13</c:v>
                </c:pt>
                <c:pt idx="11">
                  <c:v>14</c:v>
                </c:pt>
              </c:strCache>
            </c:strRef>
          </c:cat>
          <c:val>
            <c:numRef>
              <c:f>Summary_Analysis!$I$23:$I$35</c:f>
              <c:numCache>
                <c:formatCode>General</c:formatCode>
                <c:ptCount val="12"/>
                <c:pt idx="3">
                  <c:v>1</c:v>
                </c:pt>
                <c:pt idx="4">
                  <c:v>1</c:v>
                </c:pt>
                <c:pt idx="5">
                  <c:v>3</c:v>
                </c:pt>
              </c:numCache>
            </c:numRef>
          </c:val>
          <c:extLst>
            <c:ext xmlns:c16="http://schemas.microsoft.com/office/drawing/2014/chart" uri="{C3380CC4-5D6E-409C-BE32-E72D297353CC}">
              <c16:uniqueId val="{00000000-4A3E-4D8B-9CBF-134B3C69B0BF}"/>
            </c:ext>
          </c:extLst>
        </c:ser>
        <c:ser>
          <c:idx val="1"/>
          <c:order val="1"/>
          <c:tx>
            <c:strRef>
              <c:f>Summary_Analysis!$J$21:$J$22</c:f>
              <c:strCache>
                <c:ptCount val="1"/>
                <c:pt idx="0">
                  <c:v>Positive Outcome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Summary_Analysis!$H$23:$H$35</c:f>
              <c:strCache>
                <c:ptCount val="12"/>
                <c:pt idx="0">
                  <c:v>3</c:v>
                </c:pt>
                <c:pt idx="1">
                  <c:v>4</c:v>
                </c:pt>
                <c:pt idx="2">
                  <c:v>5</c:v>
                </c:pt>
                <c:pt idx="3">
                  <c:v>6</c:v>
                </c:pt>
                <c:pt idx="4">
                  <c:v>7</c:v>
                </c:pt>
                <c:pt idx="5">
                  <c:v>8</c:v>
                </c:pt>
                <c:pt idx="6">
                  <c:v>9</c:v>
                </c:pt>
                <c:pt idx="7">
                  <c:v>10</c:v>
                </c:pt>
                <c:pt idx="8">
                  <c:v>11</c:v>
                </c:pt>
                <c:pt idx="9">
                  <c:v>12</c:v>
                </c:pt>
                <c:pt idx="10">
                  <c:v>13</c:v>
                </c:pt>
                <c:pt idx="11">
                  <c:v>14</c:v>
                </c:pt>
              </c:strCache>
            </c:strRef>
          </c:cat>
          <c:val>
            <c:numRef>
              <c:f>Summary_Analysis!$J$23:$J$35</c:f>
              <c:numCache>
                <c:formatCode>General</c:formatCode>
                <c:ptCount val="12"/>
                <c:pt idx="0">
                  <c:v>2</c:v>
                </c:pt>
                <c:pt idx="1">
                  <c:v>1</c:v>
                </c:pt>
                <c:pt idx="2">
                  <c:v>1</c:v>
                </c:pt>
                <c:pt idx="3">
                  <c:v>6</c:v>
                </c:pt>
                <c:pt idx="4">
                  <c:v>7</c:v>
                </c:pt>
                <c:pt idx="5">
                  <c:v>7</c:v>
                </c:pt>
                <c:pt idx="6">
                  <c:v>5</c:v>
                </c:pt>
                <c:pt idx="7">
                  <c:v>3</c:v>
                </c:pt>
                <c:pt idx="8">
                  <c:v>8</c:v>
                </c:pt>
                <c:pt idx="9">
                  <c:v>1</c:v>
                </c:pt>
                <c:pt idx="10">
                  <c:v>1</c:v>
                </c:pt>
                <c:pt idx="11">
                  <c:v>1</c:v>
                </c:pt>
              </c:numCache>
            </c:numRef>
          </c:val>
          <c:extLst>
            <c:ext xmlns:c16="http://schemas.microsoft.com/office/drawing/2014/chart" uri="{C3380CC4-5D6E-409C-BE32-E72D297353CC}">
              <c16:uniqueId val="{00000001-64BA-4DC5-A605-9BFEE3D965F5}"/>
            </c:ext>
          </c:extLst>
        </c:ser>
        <c:ser>
          <c:idx val="2"/>
          <c:order val="2"/>
          <c:tx>
            <c:strRef>
              <c:f>Summary_Analysis!$K$21:$K$22</c:f>
              <c:strCache>
                <c:ptCount val="1"/>
                <c:pt idx="0">
                  <c:v>Seeking</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Summary_Analysis!$H$23:$H$35</c:f>
              <c:strCache>
                <c:ptCount val="12"/>
                <c:pt idx="0">
                  <c:v>3</c:v>
                </c:pt>
                <c:pt idx="1">
                  <c:v>4</c:v>
                </c:pt>
                <c:pt idx="2">
                  <c:v>5</c:v>
                </c:pt>
                <c:pt idx="3">
                  <c:v>6</c:v>
                </c:pt>
                <c:pt idx="4">
                  <c:v>7</c:v>
                </c:pt>
                <c:pt idx="5">
                  <c:v>8</c:v>
                </c:pt>
                <c:pt idx="6">
                  <c:v>9</c:v>
                </c:pt>
                <c:pt idx="7">
                  <c:v>10</c:v>
                </c:pt>
                <c:pt idx="8">
                  <c:v>11</c:v>
                </c:pt>
                <c:pt idx="9">
                  <c:v>12</c:v>
                </c:pt>
                <c:pt idx="10">
                  <c:v>13</c:v>
                </c:pt>
                <c:pt idx="11">
                  <c:v>14</c:v>
                </c:pt>
              </c:strCache>
            </c:strRef>
          </c:cat>
          <c:val>
            <c:numRef>
              <c:f>Summary_Analysis!$K$23:$K$35</c:f>
              <c:numCache>
                <c:formatCode>General</c:formatCode>
                <c:ptCount val="12"/>
                <c:pt idx="0">
                  <c:v>2</c:v>
                </c:pt>
                <c:pt idx="2">
                  <c:v>4</c:v>
                </c:pt>
                <c:pt idx="3">
                  <c:v>4</c:v>
                </c:pt>
                <c:pt idx="4">
                  <c:v>7</c:v>
                </c:pt>
                <c:pt idx="5">
                  <c:v>2</c:v>
                </c:pt>
                <c:pt idx="6">
                  <c:v>4</c:v>
                </c:pt>
              </c:numCache>
            </c:numRef>
          </c:val>
          <c:extLst>
            <c:ext xmlns:c16="http://schemas.microsoft.com/office/drawing/2014/chart" uri="{C3380CC4-5D6E-409C-BE32-E72D297353CC}">
              <c16:uniqueId val="{00000002-64BA-4DC5-A605-9BFEE3D965F5}"/>
            </c:ext>
          </c:extLst>
        </c:ser>
        <c:dLbls>
          <c:dLblPos val="outEnd"/>
          <c:showLegendKey val="0"/>
          <c:showVal val="1"/>
          <c:showCatName val="0"/>
          <c:showSerName val="0"/>
          <c:showPercent val="0"/>
          <c:showBubbleSize val="0"/>
        </c:dLbls>
        <c:gapWidth val="219"/>
        <c:overlap val="-27"/>
        <c:axId val="1912568848"/>
        <c:axId val="1912569328"/>
      </c:barChart>
      <c:catAx>
        <c:axId val="191256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569328"/>
        <c:crosses val="autoZero"/>
        <c:auto val="1"/>
        <c:lblAlgn val="ctr"/>
        <c:lblOffset val="100"/>
        <c:noMultiLvlLbl val="0"/>
      </c:catAx>
      <c:valAx>
        <c:axId val="1912569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568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[student_career_outcomes_dashboard_dataset.xlsx]Summary_Analysis!PivotTable1</c:name>
    <c:fmtId val="1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s>
    <c:plotArea>
      <c:layout/>
      <c:pieChart>
        <c:varyColors val="1"/>
        <c:ser>
          <c:idx val="0"/>
          <c:order val="0"/>
          <c:tx>
            <c:strRef>
              <c:f>Summary_Analysis!$F$3</c:f>
              <c:strCache>
                <c:ptCount val="1"/>
                <c:pt idx="0">
                  <c:v>Total Students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C92-467D-A073-E224BCEC2219}"/>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0C92-467D-A073-E224BCEC2219}"/>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0C92-467D-A073-E224BCEC22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Summary_Analysis!$E$4:$E$7</c:f>
              <c:strCache>
                <c:ptCount val="3"/>
                <c:pt idx="0">
                  <c:v>Continuing Education</c:v>
                </c:pt>
                <c:pt idx="1">
                  <c:v>Employed</c:v>
                </c:pt>
                <c:pt idx="2">
                  <c:v>Seeking</c:v>
                </c:pt>
              </c:strCache>
            </c:strRef>
          </c:cat>
          <c:val>
            <c:numRef>
              <c:f>Summary_Analysis!$F$4:$F$7</c:f>
              <c:numCache>
                <c:formatCode>General</c:formatCode>
                <c:ptCount val="3"/>
                <c:pt idx="0">
                  <c:v>5</c:v>
                </c:pt>
                <c:pt idx="1">
                  <c:v>43</c:v>
                </c:pt>
                <c:pt idx="2">
                  <c:v>23</c:v>
                </c:pt>
              </c:numCache>
            </c:numRef>
          </c:val>
          <c:extLst>
            <c:ext xmlns:c16="http://schemas.microsoft.com/office/drawing/2014/chart" uri="{C3380CC4-5D6E-409C-BE32-E72D297353CC}">
              <c16:uniqueId val="{00000006-0C92-467D-A073-E224BCEC2219}"/>
            </c:ext>
          </c:extLst>
        </c:ser>
        <c:ser>
          <c:idx val="1"/>
          <c:order val="1"/>
          <c:tx>
            <c:strRef>
              <c:f>Summary_Analysis!$G$3</c:f>
              <c:strCache>
                <c:ptCount val="1"/>
                <c:pt idx="0">
                  <c:v>% of Students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0C92-467D-A073-E224BCEC2219}"/>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A-0C92-467D-A073-E224BCEC2219}"/>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C-0C92-467D-A073-E224BCEC2219}"/>
              </c:ext>
            </c:extLst>
          </c:dPt>
          <c:cat>
            <c:strRef>
              <c:f>Summary_Analysis!$E$4:$E$7</c:f>
              <c:strCache>
                <c:ptCount val="3"/>
                <c:pt idx="0">
                  <c:v>Continuing Education</c:v>
                </c:pt>
                <c:pt idx="1">
                  <c:v>Employed</c:v>
                </c:pt>
                <c:pt idx="2">
                  <c:v>Seeking</c:v>
                </c:pt>
              </c:strCache>
            </c:strRef>
          </c:cat>
          <c:val>
            <c:numRef>
              <c:f>Summary_Analysis!$G$4:$G$7</c:f>
              <c:numCache>
                <c:formatCode>0.00%</c:formatCode>
                <c:ptCount val="3"/>
                <c:pt idx="0">
                  <c:v>7.0422535211267609E-2</c:v>
                </c:pt>
                <c:pt idx="1">
                  <c:v>0.60563380281690138</c:v>
                </c:pt>
                <c:pt idx="2">
                  <c:v>0.323943661971831</c:v>
                </c:pt>
              </c:numCache>
            </c:numRef>
          </c:val>
          <c:extLst>
            <c:ext xmlns:c16="http://schemas.microsoft.com/office/drawing/2014/chart" uri="{C3380CC4-5D6E-409C-BE32-E72D297353CC}">
              <c16:uniqueId val="{0000000D-0C92-467D-A073-E224BCEC221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365607</xdr:colOff>
      <xdr:row>9</xdr:row>
      <xdr:rowOff>38486</xdr:rowOff>
    </xdr:from>
    <xdr:to>
      <xdr:col>17</xdr:col>
      <xdr:colOff>319810</xdr:colOff>
      <xdr:row>27</xdr:row>
      <xdr:rowOff>78703</xdr:rowOff>
    </xdr:to>
    <xdr:graphicFrame macro="">
      <xdr:nvGraphicFramePr>
        <xdr:cNvPr id="2" name="Chart 1">
          <a:extLst>
            <a:ext uri="{FF2B5EF4-FFF2-40B4-BE49-F238E27FC236}">
              <a16:creationId xmlns:a16="http://schemas.microsoft.com/office/drawing/2014/main" id="{1B4405D4-42B9-4E0B-9BA3-2852B86A7A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182802</xdr:colOff>
      <xdr:row>10</xdr:row>
      <xdr:rowOff>153748</xdr:rowOff>
    </xdr:from>
    <xdr:to>
      <xdr:col>8</xdr:col>
      <xdr:colOff>189152</xdr:colOff>
      <xdr:row>28</xdr:row>
      <xdr:rowOff>2695</xdr:rowOff>
    </xdr:to>
    <xdr:graphicFrame macro="">
      <xdr:nvGraphicFramePr>
        <xdr:cNvPr id="3" name="Chart 2">
          <a:extLst>
            <a:ext uri="{FF2B5EF4-FFF2-40B4-BE49-F238E27FC236}">
              <a16:creationId xmlns:a16="http://schemas.microsoft.com/office/drawing/2014/main" id="{672150E5-C773-6C16-630C-C7431963AD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266314</xdr:colOff>
      <xdr:row>32</xdr:row>
      <xdr:rowOff>22321</xdr:rowOff>
    </xdr:from>
    <xdr:to>
      <xdr:col>8</xdr:col>
      <xdr:colOff>533206</xdr:colOff>
      <xdr:row>49</xdr:row>
      <xdr:rowOff>19049</xdr:rowOff>
    </xdr:to>
    <xdr:graphicFrame macro="">
      <xdr:nvGraphicFramePr>
        <xdr:cNvPr id="6" name="Chart 5">
          <a:extLst>
            <a:ext uri="{FF2B5EF4-FFF2-40B4-BE49-F238E27FC236}">
              <a16:creationId xmlns:a16="http://schemas.microsoft.com/office/drawing/2014/main" id="{B27B0B87-696E-404C-B6A2-97BECDCBEB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566687</xdr:colOff>
      <xdr:row>32</xdr:row>
      <xdr:rowOff>172219</xdr:rowOff>
    </xdr:from>
    <xdr:to>
      <xdr:col>20</xdr:col>
      <xdr:colOff>566687</xdr:colOff>
      <xdr:row>46</xdr:row>
      <xdr:rowOff>124787</xdr:rowOff>
    </xdr:to>
    <mc:AlternateContent xmlns:mc="http://schemas.openxmlformats.org/markup-compatibility/2006">
      <mc:Choice xmlns:a14="http://schemas.microsoft.com/office/drawing/2010/main" Requires="a14">
        <xdr:graphicFrame macro="">
          <xdr:nvGraphicFramePr>
            <xdr:cNvPr id="4" name="Employment_Status">
              <a:extLst>
                <a:ext uri="{FF2B5EF4-FFF2-40B4-BE49-F238E27FC236}">
                  <a16:creationId xmlns:a16="http://schemas.microsoft.com/office/drawing/2014/main" id="{C0ED0B7B-8673-BB67-C846-53F3A4D4383A}"/>
                </a:ext>
              </a:extLst>
            </xdr:cNvPr>
            <xdr:cNvGraphicFramePr/>
          </xdr:nvGraphicFramePr>
          <xdr:xfrm>
            <a:off x="0" y="0"/>
            <a:ext cx="0" cy="0"/>
          </xdr:xfrm>
          <a:graphic>
            <a:graphicData uri="http://schemas.microsoft.com/office/drawing/2010/slicer">
              <sle:slicer xmlns:sle="http://schemas.microsoft.com/office/drawing/2010/slicer" name="Employment_Status"/>
            </a:graphicData>
          </a:graphic>
        </xdr:graphicFrame>
      </mc:Choice>
      <mc:Fallback>
        <xdr:sp macro="" textlink="">
          <xdr:nvSpPr>
            <xdr:cNvPr id="0" name=""/>
            <xdr:cNvSpPr>
              <a:spLocks noTextEdit="1"/>
            </xdr:cNvSpPr>
          </xdr:nvSpPr>
          <xdr:spPr>
            <a:xfrm>
              <a:off x="13863587" y="6382519"/>
              <a:ext cx="1828800" cy="26195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427644</xdr:colOff>
      <xdr:row>9</xdr:row>
      <xdr:rowOff>116041</xdr:rowOff>
    </xdr:from>
    <xdr:to>
      <xdr:col>20</xdr:col>
      <xdr:colOff>435488</xdr:colOff>
      <xdr:row>23</xdr:row>
      <xdr:rowOff>35378</xdr:rowOff>
    </xdr:to>
    <mc:AlternateContent xmlns:mc="http://schemas.openxmlformats.org/markup-compatibility/2006">
      <mc:Choice xmlns:a14="http://schemas.microsoft.com/office/drawing/2010/main" Requires="a14">
        <xdr:graphicFrame macro="">
          <xdr:nvGraphicFramePr>
            <xdr:cNvPr id="7" name="Major">
              <a:extLst>
                <a:ext uri="{FF2B5EF4-FFF2-40B4-BE49-F238E27FC236}">
                  <a16:creationId xmlns:a16="http://schemas.microsoft.com/office/drawing/2014/main" id="{02CBDEE1-1C1B-DA7F-8EF2-C553C5433214}"/>
                </a:ext>
              </a:extLst>
            </xdr:cNvPr>
            <xdr:cNvGraphicFramePr/>
          </xdr:nvGraphicFramePr>
          <xdr:xfrm>
            <a:off x="0" y="0"/>
            <a:ext cx="0" cy="0"/>
          </xdr:xfrm>
          <a:graphic>
            <a:graphicData uri="http://schemas.microsoft.com/office/drawing/2010/slicer">
              <sle:slicer xmlns:sle="http://schemas.microsoft.com/office/drawing/2010/slicer" name="Major"/>
            </a:graphicData>
          </a:graphic>
        </xdr:graphicFrame>
      </mc:Choice>
      <mc:Fallback>
        <xdr:sp macro="" textlink="">
          <xdr:nvSpPr>
            <xdr:cNvPr id="0" name=""/>
            <xdr:cNvSpPr>
              <a:spLocks noTextEdit="1"/>
            </xdr:cNvSpPr>
          </xdr:nvSpPr>
          <xdr:spPr>
            <a:xfrm>
              <a:off x="13724544" y="1944841"/>
              <a:ext cx="1836644" cy="25863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432954</xdr:colOff>
      <xdr:row>32</xdr:row>
      <xdr:rowOff>9622</xdr:rowOff>
    </xdr:from>
    <xdr:to>
      <xdr:col>17</xdr:col>
      <xdr:colOff>396586</xdr:colOff>
      <xdr:row>49</xdr:row>
      <xdr:rowOff>15971</xdr:rowOff>
    </xdr:to>
    <xdr:graphicFrame macro="">
      <xdr:nvGraphicFramePr>
        <xdr:cNvPr id="8" name="Chart 7">
          <a:extLst>
            <a:ext uri="{FF2B5EF4-FFF2-40B4-BE49-F238E27FC236}">
              <a16:creationId xmlns:a16="http://schemas.microsoft.com/office/drawing/2014/main" id="{30B65BF9-4696-4A97-B144-4F305BEAC3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ve Pellissery" refreshedDate="46119.63768310185" createdVersion="8" refreshedVersion="8" minRefreshableVersion="3" recordCount="120" xr:uid="{C0A532A8-DAAA-4011-ACE1-67639E10C8E2}">
  <cacheSource type="worksheet">
    <worksheetSource ref="A1:T121" sheet="Master_Data"/>
  </cacheSource>
  <cacheFields count="20">
    <cacheField name="Student_ID" numFmtId="0">
      <sharedItems/>
    </cacheField>
    <cacheField name="Student_Name" numFmtId="0">
      <sharedItems/>
    </cacheField>
    <cacheField name="Major" numFmtId="0">
      <sharedItems count="6">
        <s v="Finance"/>
        <s v="Data Science"/>
        <s v="Business Analytics"/>
        <s v="Marketing"/>
        <s v="Computer Science"/>
        <s v="Economics"/>
      </sharedItems>
    </cacheField>
    <cacheField name="Degree_Level" numFmtId="0">
      <sharedItems/>
    </cacheField>
    <cacheField name="Graduation_Year" numFmtId="0">
      <sharedItems containsSemiMixedTypes="0" containsString="0" containsNumber="1" containsInteger="1" minValue="2026" maxValue="2027"/>
    </cacheField>
    <cacheField name="GPA" numFmtId="0">
      <sharedItems containsSemiMixedTypes="0" containsString="0" containsNumber="1" minValue="2.81" maxValue="3.96"/>
    </cacheField>
    <cacheField name="International_Status" numFmtId="0">
      <sharedItems/>
    </cacheField>
    <cacheField name="Workshops_Attended" numFmtId="0">
      <sharedItems containsSemiMixedTypes="0" containsString="0" containsNumber="1" containsInteger="1" minValue="0" maxValue="6"/>
    </cacheField>
    <cacheField name="Resume_Reviews" numFmtId="0">
      <sharedItems containsSemiMixedTypes="0" containsString="0" containsNumber="1" containsInteger="1" minValue="0" maxValue="4"/>
    </cacheField>
    <cacheField name="Mock_Interviews" numFmtId="0">
      <sharedItems containsSemiMixedTypes="0" containsString="0" containsNumber="1" containsInteger="1" minValue="0" maxValue="3"/>
    </cacheField>
    <cacheField name="Career_Fair_Attendance" numFmtId="0">
      <sharedItems containsSemiMixedTypes="0" containsString="0" containsNumber="1" containsInteger="1" minValue="0" maxValue="3"/>
    </cacheField>
    <cacheField name="Internship_Status" numFmtId="0">
      <sharedItems/>
    </cacheField>
    <cacheField name="Employment_Status" numFmtId="0">
      <sharedItems count="3">
        <s v="Employed"/>
        <s v="Seeking"/>
        <s v="Continuing Education"/>
      </sharedItems>
    </cacheField>
    <cacheField name="Employment_Type" numFmtId="0">
      <sharedItems/>
    </cacheField>
    <cacheField name="Industry" numFmtId="0">
      <sharedItems count="8">
        <s v="Finance"/>
        <s v="NA"/>
        <s v="Technology"/>
        <s v="Education"/>
        <s v="Healthcare"/>
        <s v="Marketing"/>
        <s v="Consulting"/>
        <s v="Retail"/>
      </sharedItems>
    </cacheField>
    <cacheField name="Salary" numFmtId="0">
      <sharedItems containsSemiMixedTypes="0" containsString="0" containsNumber="1" containsInteger="1" minValue="0" maxValue="82604"/>
    </cacheField>
    <cacheField name="Months_to_Employment" numFmtId="0">
      <sharedItems containsSemiMixedTypes="0" containsString="0" containsNumber="1" containsInteger="1" minValue="0" maxValue="6"/>
    </cacheField>
    <cacheField name="Total_Engagement" numFmtId="0">
      <sharedItems containsSemiMixedTypes="0" containsString="0" containsNumber="1" containsInteger="1" minValue="3" maxValue="14" count="12">
        <n v="3"/>
        <n v="4"/>
        <n v="10"/>
        <n v="7"/>
        <n v="9"/>
        <n v="6"/>
        <n v="8"/>
        <n v="11"/>
        <n v="5"/>
        <n v="14"/>
        <n v="13"/>
        <n v="12"/>
      </sharedItems>
    </cacheField>
    <cacheField name="Outcome" numFmtId="0">
      <sharedItems count="3">
        <s v="Positive Outcome"/>
        <s v="Seeking"/>
        <s v="Further Study"/>
      </sharedItems>
    </cacheField>
    <cacheField name="Salary Band" numFmtId="0">
      <sharedItems/>
    </cacheField>
  </cacheFields>
  <extLst>
    <ext xmlns:x14="http://schemas.microsoft.com/office/spreadsheetml/2009/9/main" uri="{725AE2AE-9491-48be-B2B4-4EB974FC3084}">
      <x14:pivotCacheDefinition pivotCacheId="2052562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s v="S001"/>
    <s v="Morgan Smith"/>
    <x v="0"/>
    <s v="Undergraduate"/>
    <n v="2026"/>
    <n v="2.92"/>
    <s v="No"/>
    <n v="0"/>
    <n v="2"/>
    <n v="0"/>
    <n v="1"/>
    <s v="Yes"/>
    <x v="0"/>
    <s v="Part-Time"/>
    <x v="0"/>
    <n v="34434"/>
    <n v="2"/>
    <x v="0"/>
    <x v="0"/>
    <s v="Below 50K"/>
  </r>
  <r>
    <s v="S002"/>
    <s v="Rowan Brown"/>
    <x v="1"/>
    <s v="Undergraduate"/>
    <n v="2026"/>
    <n v="3.08"/>
    <s v="No"/>
    <n v="1"/>
    <n v="1"/>
    <n v="2"/>
    <n v="0"/>
    <s v="No"/>
    <x v="1"/>
    <s v="NA"/>
    <x v="1"/>
    <n v="0"/>
    <n v="0"/>
    <x v="1"/>
    <x v="1"/>
    <s v="No Salary"/>
  </r>
  <r>
    <s v="S003"/>
    <s v="Rowan Miller"/>
    <x v="1"/>
    <s v="Graduate"/>
    <n v="2026"/>
    <n v="3.34"/>
    <s v="Yes"/>
    <n v="4"/>
    <n v="2"/>
    <n v="1"/>
    <n v="3"/>
    <s v="Yes"/>
    <x v="0"/>
    <s v="Part-Time"/>
    <x v="2"/>
    <n v="42873"/>
    <n v="4"/>
    <x v="2"/>
    <x v="0"/>
    <s v="Below 50K"/>
  </r>
  <r>
    <s v="S004"/>
    <s v="Alex Garcia"/>
    <x v="1"/>
    <s v="Undergraduate"/>
    <n v="2026"/>
    <n v="3.95"/>
    <s v="Yes"/>
    <n v="3"/>
    <n v="1"/>
    <n v="2"/>
    <n v="1"/>
    <s v="No"/>
    <x v="0"/>
    <s v="Full-Time"/>
    <x v="3"/>
    <n v="53883"/>
    <n v="3"/>
    <x v="3"/>
    <x v="0"/>
    <s v="Between 50K and 75K"/>
  </r>
  <r>
    <s v="S005"/>
    <s v="Taylor Martin"/>
    <x v="2"/>
    <s v="Graduate"/>
    <n v="2026"/>
    <n v="3.77"/>
    <s v="No"/>
    <n v="2"/>
    <n v="3"/>
    <n v="1"/>
    <n v="3"/>
    <s v="Yes"/>
    <x v="0"/>
    <s v="Full-Time"/>
    <x v="4"/>
    <n v="64304"/>
    <n v="4"/>
    <x v="4"/>
    <x v="0"/>
    <s v="Between 50K and 75K"/>
  </r>
  <r>
    <s v="S006"/>
    <s v="Rowan Lee"/>
    <x v="3"/>
    <s v="Undergraduate"/>
    <n v="2026"/>
    <n v="3.8"/>
    <s v="No"/>
    <n v="5"/>
    <n v="0"/>
    <n v="0"/>
    <n v="1"/>
    <s v="No"/>
    <x v="1"/>
    <s v="NA"/>
    <x v="1"/>
    <n v="0"/>
    <n v="0"/>
    <x v="5"/>
    <x v="1"/>
    <s v="No Salary"/>
  </r>
  <r>
    <s v="S007"/>
    <s v="Parker Walker"/>
    <x v="2"/>
    <s v="Undergraduate"/>
    <n v="2027"/>
    <n v="3.73"/>
    <s v="No"/>
    <n v="4"/>
    <n v="1"/>
    <n v="3"/>
    <n v="1"/>
    <s v="No"/>
    <x v="1"/>
    <s v="NA"/>
    <x v="1"/>
    <n v="0"/>
    <n v="0"/>
    <x v="4"/>
    <x v="1"/>
    <s v="No Salary"/>
  </r>
  <r>
    <s v="S008"/>
    <s v="Cameron Lee"/>
    <x v="4"/>
    <s v="Graduate"/>
    <n v="2027"/>
    <n v="3"/>
    <s v="No"/>
    <n v="3"/>
    <n v="1"/>
    <n v="3"/>
    <n v="3"/>
    <s v="No"/>
    <x v="0"/>
    <s v="Full-Time"/>
    <x v="5"/>
    <n v="53353"/>
    <n v="2"/>
    <x v="2"/>
    <x v="0"/>
    <s v="Between 50K and 75K"/>
  </r>
  <r>
    <s v="S009"/>
    <s v="Drew Brown"/>
    <x v="1"/>
    <s v="Undergraduate"/>
    <n v="2027"/>
    <n v="3"/>
    <s v="No"/>
    <n v="4"/>
    <n v="1"/>
    <n v="1"/>
    <n v="1"/>
    <s v="Yes"/>
    <x v="0"/>
    <s v="Internship"/>
    <x v="2"/>
    <n v="37985"/>
    <n v="5"/>
    <x v="3"/>
    <x v="0"/>
    <s v="Below 50K"/>
  </r>
  <r>
    <s v="S010"/>
    <s v="Rowan Davis"/>
    <x v="1"/>
    <s v="Graduate"/>
    <n v="2027"/>
    <n v="3.07"/>
    <s v="Yes"/>
    <n v="3"/>
    <n v="1"/>
    <n v="2"/>
    <n v="2"/>
    <s v="Yes"/>
    <x v="0"/>
    <s v="Internship"/>
    <x v="2"/>
    <n v="35622"/>
    <n v="5"/>
    <x v="6"/>
    <x v="0"/>
    <s v="Below 50K"/>
  </r>
  <r>
    <s v="S011"/>
    <s v="Skyler Martin"/>
    <x v="4"/>
    <s v="Undergraduate"/>
    <n v="2027"/>
    <n v="3.85"/>
    <s v="Yes"/>
    <n v="3"/>
    <n v="1"/>
    <n v="1"/>
    <n v="1"/>
    <s v="Yes"/>
    <x v="0"/>
    <s v="Full-Time"/>
    <x v="5"/>
    <n v="58812"/>
    <n v="6"/>
    <x v="5"/>
    <x v="0"/>
    <s v="Between 50K and 75K"/>
  </r>
  <r>
    <s v="S012"/>
    <s v="Emerson Martin"/>
    <x v="3"/>
    <s v="Graduate"/>
    <n v="2026"/>
    <n v="2.97"/>
    <s v="No"/>
    <n v="4"/>
    <n v="1"/>
    <n v="0"/>
    <n v="2"/>
    <s v="Yes"/>
    <x v="1"/>
    <s v="NA"/>
    <x v="1"/>
    <n v="0"/>
    <n v="0"/>
    <x v="3"/>
    <x v="1"/>
    <s v="No Salary"/>
  </r>
  <r>
    <s v="S013"/>
    <s v="Rowan Wilson"/>
    <x v="0"/>
    <s v="Undergraduate"/>
    <n v="2026"/>
    <n v="3.23"/>
    <s v="No"/>
    <n v="5"/>
    <n v="1"/>
    <n v="2"/>
    <n v="1"/>
    <s v="No"/>
    <x v="1"/>
    <s v="NA"/>
    <x v="1"/>
    <n v="0"/>
    <n v="0"/>
    <x v="4"/>
    <x v="1"/>
    <s v="No Salary"/>
  </r>
  <r>
    <s v="S014"/>
    <s v="Casey Clark"/>
    <x v="5"/>
    <s v="Graduate"/>
    <n v="2027"/>
    <n v="2.98"/>
    <s v="Yes"/>
    <n v="6"/>
    <n v="1"/>
    <n v="1"/>
    <n v="0"/>
    <s v="No"/>
    <x v="1"/>
    <s v="NA"/>
    <x v="1"/>
    <n v="0"/>
    <n v="0"/>
    <x v="6"/>
    <x v="1"/>
    <s v="No Salary"/>
  </r>
  <r>
    <s v="S015"/>
    <s v="Quinn Hall"/>
    <x v="2"/>
    <s v="Undergraduate"/>
    <n v="2027"/>
    <n v="3.43"/>
    <s v="No"/>
    <n v="3"/>
    <n v="2"/>
    <n v="2"/>
    <n v="1"/>
    <s v="Yes"/>
    <x v="2"/>
    <s v="NA"/>
    <x v="1"/>
    <n v="0"/>
    <n v="0"/>
    <x v="6"/>
    <x v="2"/>
    <s v="No Salary"/>
  </r>
  <r>
    <s v="S016"/>
    <s v="Alex Lee"/>
    <x v="1"/>
    <s v="Graduate"/>
    <n v="2026"/>
    <n v="3.57"/>
    <s v="Yes"/>
    <n v="5"/>
    <n v="1"/>
    <n v="2"/>
    <n v="2"/>
    <s v="Yes"/>
    <x v="0"/>
    <s v="Full-Time"/>
    <x v="2"/>
    <n v="74742"/>
    <n v="1"/>
    <x v="2"/>
    <x v="0"/>
    <s v="Between 50K and 75K"/>
  </r>
  <r>
    <s v="S017"/>
    <s v="Quinn Garcia"/>
    <x v="5"/>
    <s v="Graduate"/>
    <n v="2027"/>
    <n v="3.12"/>
    <s v="No"/>
    <n v="3"/>
    <n v="3"/>
    <n v="1"/>
    <n v="2"/>
    <s v="Yes"/>
    <x v="1"/>
    <s v="NA"/>
    <x v="1"/>
    <n v="0"/>
    <n v="0"/>
    <x v="4"/>
    <x v="1"/>
    <s v="No Salary"/>
  </r>
  <r>
    <s v="S018"/>
    <s v="Riley Clark"/>
    <x v="3"/>
    <s v="Graduate"/>
    <n v="2026"/>
    <n v="3.57"/>
    <s v="No"/>
    <n v="2"/>
    <n v="2"/>
    <n v="1"/>
    <n v="1"/>
    <s v="No"/>
    <x v="0"/>
    <s v="Full-Time"/>
    <x v="5"/>
    <n v="62138"/>
    <n v="4"/>
    <x v="5"/>
    <x v="0"/>
    <s v="Between 50K and 75K"/>
  </r>
  <r>
    <s v="S019"/>
    <s v="Casey Moore"/>
    <x v="0"/>
    <s v="Graduate"/>
    <n v="2027"/>
    <n v="3.44"/>
    <s v="Yes"/>
    <n v="3"/>
    <n v="2"/>
    <n v="2"/>
    <n v="1"/>
    <s v="Yes"/>
    <x v="0"/>
    <s v="Full-Time"/>
    <x v="6"/>
    <n v="69158"/>
    <n v="4"/>
    <x v="6"/>
    <x v="0"/>
    <s v="Between 50K and 75K"/>
  </r>
  <r>
    <s v="S020"/>
    <s v="Skyler Harris"/>
    <x v="2"/>
    <s v="Graduate"/>
    <n v="2027"/>
    <n v="3.8"/>
    <s v="Yes"/>
    <n v="6"/>
    <n v="2"/>
    <n v="1"/>
    <n v="2"/>
    <s v="Yes"/>
    <x v="0"/>
    <s v="Part-Time"/>
    <x v="2"/>
    <n v="35830"/>
    <n v="2"/>
    <x v="7"/>
    <x v="0"/>
    <s v="Below 50K"/>
  </r>
  <r>
    <s v="S021"/>
    <s v="Jordan Davis"/>
    <x v="0"/>
    <s v="Graduate"/>
    <n v="2026"/>
    <n v="3.38"/>
    <s v="Yes"/>
    <n v="1"/>
    <n v="0"/>
    <n v="1"/>
    <n v="3"/>
    <s v="No"/>
    <x v="1"/>
    <s v="NA"/>
    <x v="1"/>
    <n v="0"/>
    <n v="0"/>
    <x v="8"/>
    <x v="1"/>
    <s v="No Salary"/>
  </r>
  <r>
    <s v="S022"/>
    <s v="Rowan Patel"/>
    <x v="2"/>
    <s v="Graduate"/>
    <n v="2026"/>
    <n v="3.12"/>
    <s v="No"/>
    <n v="2"/>
    <n v="2"/>
    <n v="1"/>
    <n v="2"/>
    <s v="Yes"/>
    <x v="0"/>
    <s v="Full-Time"/>
    <x v="2"/>
    <n v="78247"/>
    <n v="1"/>
    <x v="3"/>
    <x v="0"/>
    <s v="Above 75K"/>
  </r>
  <r>
    <s v="S023"/>
    <s v="Quinn Miller"/>
    <x v="3"/>
    <s v="Graduate"/>
    <n v="2027"/>
    <n v="3.66"/>
    <s v="No"/>
    <n v="3"/>
    <n v="3"/>
    <n v="1"/>
    <n v="0"/>
    <s v="Yes"/>
    <x v="1"/>
    <s v="NA"/>
    <x v="1"/>
    <n v="0"/>
    <n v="0"/>
    <x v="3"/>
    <x v="1"/>
    <s v="No Salary"/>
  </r>
  <r>
    <s v="S024"/>
    <s v="Parker White"/>
    <x v="3"/>
    <s v="Graduate"/>
    <n v="2026"/>
    <n v="2.88"/>
    <s v="Yes"/>
    <n v="4"/>
    <n v="2"/>
    <n v="1"/>
    <n v="2"/>
    <s v="Yes"/>
    <x v="1"/>
    <s v="NA"/>
    <x v="1"/>
    <n v="0"/>
    <n v="0"/>
    <x v="4"/>
    <x v="1"/>
    <s v="No Salary"/>
  </r>
  <r>
    <s v="S025"/>
    <s v="Rowan Davis"/>
    <x v="1"/>
    <s v="Undergraduate"/>
    <n v="2027"/>
    <n v="2.87"/>
    <s v="Yes"/>
    <n v="4"/>
    <n v="1"/>
    <n v="0"/>
    <n v="2"/>
    <s v="No"/>
    <x v="0"/>
    <s v="Full-Time"/>
    <x v="0"/>
    <n v="67566"/>
    <n v="1"/>
    <x v="3"/>
    <x v="0"/>
    <s v="Between 50K and 75K"/>
  </r>
  <r>
    <s v="S026"/>
    <s v="Jordan Thomas"/>
    <x v="2"/>
    <s v="Undergraduate"/>
    <n v="2027"/>
    <n v="3.06"/>
    <s v="Yes"/>
    <n v="2"/>
    <n v="3"/>
    <n v="3"/>
    <n v="0"/>
    <s v="Yes"/>
    <x v="0"/>
    <s v="Part-Time"/>
    <x v="2"/>
    <n v="37464"/>
    <n v="2"/>
    <x v="6"/>
    <x v="0"/>
    <s v="Below 50K"/>
  </r>
  <r>
    <s v="S027"/>
    <s v="Elliot Walker"/>
    <x v="5"/>
    <s v="Graduate"/>
    <n v="2027"/>
    <n v="3.03"/>
    <s v="Yes"/>
    <n v="5"/>
    <n v="2"/>
    <n v="2"/>
    <n v="2"/>
    <s v="Yes"/>
    <x v="0"/>
    <s v="Full-Time"/>
    <x v="0"/>
    <n v="75574"/>
    <n v="1"/>
    <x v="7"/>
    <x v="0"/>
    <s v="Above 75K"/>
  </r>
  <r>
    <s v="S028"/>
    <s v="Quinn Moore"/>
    <x v="5"/>
    <s v="Graduate"/>
    <n v="2027"/>
    <n v="3.61"/>
    <s v="No"/>
    <n v="5"/>
    <n v="2"/>
    <n v="1"/>
    <n v="2"/>
    <s v="Yes"/>
    <x v="0"/>
    <s v="Internship"/>
    <x v="2"/>
    <n v="31898"/>
    <n v="3"/>
    <x v="2"/>
    <x v="0"/>
    <s v="Below 50K"/>
  </r>
  <r>
    <s v="S029"/>
    <s v="Morgan Johnson"/>
    <x v="4"/>
    <s v="Undergraduate"/>
    <n v="2027"/>
    <n v="3.1"/>
    <s v="Yes"/>
    <n v="4"/>
    <n v="1"/>
    <n v="2"/>
    <n v="1"/>
    <s v="Yes"/>
    <x v="0"/>
    <s v="Full-Time"/>
    <x v="6"/>
    <n v="69705"/>
    <n v="2"/>
    <x v="6"/>
    <x v="0"/>
    <s v="Between 50K and 75K"/>
  </r>
  <r>
    <s v="S030"/>
    <s v="Hayden Patel"/>
    <x v="5"/>
    <s v="Undergraduate"/>
    <n v="2026"/>
    <n v="3.91"/>
    <s v="No"/>
    <n v="4"/>
    <n v="2"/>
    <n v="1"/>
    <n v="0"/>
    <s v="Yes"/>
    <x v="0"/>
    <s v="Full-Time"/>
    <x v="6"/>
    <n v="74550"/>
    <n v="2"/>
    <x v="3"/>
    <x v="0"/>
    <s v="Between 50K and 75K"/>
  </r>
  <r>
    <s v="S031"/>
    <s v="Rowan Lee"/>
    <x v="2"/>
    <s v="Graduate"/>
    <n v="2027"/>
    <n v="3.96"/>
    <s v="No"/>
    <n v="6"/>
    <n v="3"/>
    <n v="0"/>
    <n v="2"/>
    <s v="Yes"/>
    <x v="0"/>
    <s v="Internship"/>
    <x v="6"/>
    <n v="37590"/>
    <n v="3"/>
    <x v="7"/>
    <x v="0"/>
    <s v="Below 50K"/>
  </r>
  <r>
    <s v="S032"/>
    <s v="Cameron Garcia"/>
    <x v="4"/>
    <s v="Graduate"/>
    <n v="2027"/>
    <n v="3.88"/>
    <s v="Yes"/>
    <n v="3"/>
    <n v="4"/>
    <n v="1"/>
    <n v="2"/>
    <s v="Yes"/>
    <x v="0"/>
    <s v="Part-Time"/>
    <x v="4"/>
    <n v="44598"/>
    <n v="3"/>
    <x v="2"/>
    <x v="0"/>
    <s v="Below 50K"/>
  </r>
  <r>
    <s v="S033"/>
    <s v="Alex Martin"/>
    <x v="4"/>
    <s v="Graduate"/>
    <n v="2026"/>
    <n v="3.31"/>
    <s v="No"/>
    <n v="4"/>
    <n v="1"/>
    <n v="2"/>
    <n v="1"/>
    <s v="No"/>
    <x v="0"/>
    <s v="Full-Time"/>
    <x v="2"/>
    <n v="75889"/>
    <n v="3"/>
    <x v="6"/>
    <x v="0"/>
    <s v="Above 75K"/>
  </r>
  <r>
    <s v="S034"/>
    <s v="Rowan Harris"/>
    <x v="2"/>
    <s v="Undergraduate"/>
    <n v="2027"/>
    <n v="3.5"/>
    <s v="No"/>
    <n v="3"/>
    <n v="2"/>
    <n v="2"/>
    <n v="1"/>
    <s v="No"/>
    <x v="0"/>
    <s v="Full-Time"/>
    <x v="4"/>
    <n v="60230"/>
    <n v="3"/>
    <x v="6"/>
    <x v="0"/>
    <s v="Between 50K and 75K"/>
  </r>
  <r>
    <s v="S035"/>
    <s v="Skyler Johnson"/>
    <x v="2"/>
    <s v="Graduate"/>
    <n v="2027"/>
    <n v="3.44"/>
    <s v="Yes"/>
    <n v="2"/>
    <n v="1"/>
    <n v="2"/>
    <n v="2"/>
    <s v="Yes"/>
    <x v="0"/>
    <s v="Part-Time"/>
    <x v="4"/>
    <n v="47866"/>
    <n v="2"/>
    <x v="3"/>
    <x v="0"/>
    <s v="Below 50K"/>
  </r>
  <r>
    <s v="S036"/>
    <s v="Blake Brown"/>
    <x v="0"/>
    <s v="Undergraduate"/>
    <n v="2026"/>
    <n v="3.83"/>
    <s v="No"/>
    <n v="3"/>
    <n v="2"/>
    <n v="1"/>
    <n v="1"/>
    <s v="Yes"/>
    <x v="1"/>
    <s v="NA"/>
    <x v="1"/>
    <n v="0"/>
    <n v="0"/>
    <x v="3"/>
    <x v="1"/>
    <s v="No Salary"/>
  </r>
  <r>
    <s v="S037"/>
    <s v="Elliot Davis"/>
    <x v="1"/>
    <s v="Undergraduate"/>
    <n v="2026"/>
    <n v="3.59"/>
    <s v="No"/>
    <n v="3"/>
    <n v="3"/>
    <n v="2"/>
    <n v="1"/>
    <s v="Yes"/>
    <x v="0"/>
    <s v="Full-Time"/>
    <x v="6"/>
    <n v="74850"/>
    <n v="1"/>
    <x v="4"/>
    <x v="0"/>
    <s v="Between 50K and 75K"/>
  </r>
  <r>
    <s v="S038"/>
    <s v="Skyler Wilson"/>
    <x v="2"/>
    <s v="Graduate"/>
    <n v="2026"/>
    <n v="3.27"/>
    <s v="No"/>
    <n v="6"/>
    <n v="1"/>
    <n v="2"/>
    <n v="2"/>
    <s v="Yes"/>
    <x v="0"/>
    <s v="Full-Time"/>
    <x v="7"/>
    <n v="61767"/>
    <n v="3"/>
    <x v="7"/>
    <x v="0"/>
    <s v="Between 50K and 75K"/>
  </r>
  <r>
    <s v="S039"/>
    <s v="Logan White"/>
    <x v="4"/>
    <s v="Graduate"/>
    <n v="2026"/>
    <n v="3.35"/>
    <s v="No"/>
    <n v="5"/>
    <n v="2"/>
    <n v="2"/>
    <n v="2"/>
    <s v="Yes"/>
    <x v="0"/>
    <s v="Full-Time"/>
    <x v="2"/>
    <n v="76363"/>
    <n v="4"/>
    <x v="7"/>
    <x v="0"/>
    <s v="Above 75K"/>
  </r>
  <r>
    <s v="S040"/>
    <s v="Morgan Brown"/>
    <x v="5"/>
    <s v="Graduate"/>
    <n v="2026"/>
    <n v="3.22"/>
    <s v="Yes"/>
    <n v="3"/>
    <n v="1"/>
    <n v="1"/>
    <n v="2"/>
    <s v="Yes"/>
    <x v="2"/>
    <s v="NA"/>
    <x v="1"/>
    <n v="0"/>
    <n v="0"/>
    <x v="3"/>
    <x v="2"/>
    <s v="No Salary"/>
  </r>
  <r>
    <s v="S041"/>
    <s v="Cameron Moore"/>
    <x v="4"/>
    <s v="Undergraduate"/>
    <n v="2026"/>
    <n v="3.16"/>
    <s v="No"/>
    <n v="2"/>
    <n v="2"/>
    <n v="1"/>
    <n v="1"/>
    <s v="Yes"/>
    <x v="1"/>
    <s v="NA"/>
    <x v="1"/>
    <n v="0"/>
    <n v="0"/>
    <x v="5"/>
    <x v="1"/>
    <s v="No Salary"/>
  </r>
  <r>
    <s v="S042"/>
    <s v="Blake Smith"/>
    <x v="1"/>
    <s v="Graduate"/>
    <n v="2027"/>
    <n v="2.92"/>
    <s v="No"/>
    <n v="5"/>
    <n v="2"/>
    <n v="1"/>
    <n v="3"/>
    <s v="Yes"/>
    <x v="0"/>
    <s v="Internship"/>
    <x v="2"/>
    <n v="37819"/>
    <n v="1"/>
    <x v="7"/>
    <x v="0"/>
    <s v="Below 50K"/>
  </r>
  <r>
    <s v="S043"/>
    <s v="Drew Lee"/>
    <x v="3"/>
    <s v="Graduate"/>
    <n v="2026"/>
    <n v="3.14"/>
    <s v="Yes"/>
    <n v="4"/>
    <n v="4"/>
    <n v="1"/>
    <n v="1"/>
    <s v="Yes"/>
    <x v="0"/>
    <s v="Full-Time"/>
    <x v="0"/>
    <n v="75305"/>
    <n v="3"/>
    <x v="2"/>
    <x v="0"/>
    <s v="Above 75K"/>
  </r>
  <r>
    <s v="S044"/>
    <s v="Skyler Miller"/>
    <x v="1"/>
    <s v="Graduate"/>
    <n v="2026"/>
    <n v="3.1"/>
    <s v="No"/>
    <n v="1"/>
    <n v="2"/>
    <n v="2"/>
    <n v="2"/>
    <s v="No"/>
    <x v="0"/>
    <s v="Full-Time"/>
    <x v="5"/>
    <n v="58429"/>
    <n v="3"/>
    <x v="3"/>
    <x v="0"/>
    <s v="Between 50K and 75K"/>
  </r>
  <r>
    <s v="S045"/>
    <s v="Jordan Brown"/>
    <x v="1"/>
    <s v="Graduate"/>
    <n v="2026"/>
    <n v="3.2"/>
    <s v="Yes"/>
    <n v="2"/>
    <n v="1"/>
    <n v="1"/>
    <n v="2"/>
    <s v="Yes"/>
    <x v="0"/>
    <s v="Full-Time"/>
    <x v="3"/>
    <n v="55928"/>
    <n v="1"/>
    <x v="5"/>
    <x v="0"/>
    <s v="Between 50K and 75K"/>
  </r>
  <r>
    <s v="S046"/>
    <s v="Drew Garcia"/>
    <x v="0"/>
    <s v="Graduate"/>
    <n v="2026"/>
    <n v="2.81"/>
    <s v="Yes"/>
    <n v="4"/>
    <n v="1"/>
    <n v="1"/>
    <n v="1"/>
    <s v="Yes"/>
    <x v="0"/>
    <s v="Full-Time"/>
    <x v="0"/>
    <n v="72633"/>
    <n v="3"/>
    <x v="3"/>
    <x v="0"/>
    <s v="Between 50K and 75K"/>
  </r>
  <r>
    <s v="S047"/>
    <s v="Casey Lewis"/>
    <x v="2"/>
    <s v="Undergraduate"/>
    <n v="2026"/>
    <n v="3.32"/>
    <s v="Yes"/>
    <n v="2"/>
    <n v="1"/>
    <n v="2"/>
    <n v="0"/>
    <s v="No"/>
    <x v="1"/>
    <s v="NA"/>
    <x v="1"/>
    <n v="0"/>
    <n v="0"/>
    <x v="8"/>
    <x v="1"/>
    <s v="No Salary"/>
  </r>
  <r>
    <s v="S048"/>
    <s v="Parker Johnson"/>
    <x v="3"/>
    <s v="Undergraduate"/>
    <n v="2026"/>
    <n v="2.92"/>
    <s v="No"/>
    <n v="3"/>
    <n v="1"/>
    <n v="1"/>
    <n v="1"/>
    <s v="Yes"/>
    <x v="1"/>
    <s v="NA"/>
    <x v="1"/>
    <n v="0"/>
    <n v="0"/>
    <x v="5"/>
    <x v="1"/>
    <s v="No Salary"/>
  </r>
  <r>
    <s v="S049"/>
    <s v="Quinn Hall"/>
    <x v="0"/>
    <s v="Graduate"/>
    <n v="2026"/>
    <n v="3"/>
    <s v="No"/>
    <n v="6"/>
    <n v="3"/>
    <n v="1"/>
    <n v="1"/>
    <s v="Yes"/>
    <x v="0"/>
    <s v="Part-Time"/>
    <x v="6"/>
    <n v="42232"/>
    <n v="2"/>
    <x v="7"/>
    <x v="0"/>
    <s v="Below 50K"/>
  </r>
  <r>
    <s v="S050"/>
    <s v="Riley Jackson"/>
    <x v="2"/>
    <s v="Graduate"/>
    <n v="2026"/>
    <n v="3.92"/>
    <s v="No"/>
    <n v="6"/>
    <n v="2"/>
    <n v="1"/>
    <n v="2"/>
    <s v="Yes"/>
    <x v="0"/>
    <s v="Full-Time"/>
    <x v="2"/>
    <n v="82604"/>
    <n v="2"/>
    <x v="7"/>
    <x v="0"/>
    <s v="Above 75K"/>
  </r>
  <r>
    <s v="S051"/>
    <s v="Cameron Wilson"/>
    <x v="2"/>
    <s v="Graduate"/>
    <n v="2026"/>
    <n v="2.85"/>
    <s v="No"/>
    <n v="6"/>
    <n v="2"/>
    <n v="3"/>
    <n v="3"/>
    <s v="Yes"/>
    <x v="0"/>
    <s v="Full-Time"/>
    <x v="6"/>
    <n v="64222"/>
    <n v="2"/>
    <x v="9"/>
    <x v="0"/>
    <s v="Between 50K and 75K"/>
  </r>
  <r>
    <s v="S052"/>
    <s v="Avery White"/>
    <x v="4"/>
    <s v="Graduate"/>
    <n v="2027"/>
    <n v="3.07"/>
    <s v="No"/>
    <n v="4"/>
    <n v="0"/>
    <n v="1"/>
    <n v="3"/>
    <s v="Yes"/>
    <x v="0"/>
    <s v="Internship"/>
    <x v="5"/>
    <n v="33626"/>
    <n v="6"/>
    <x v="6"/>
    <x v="0"/>
    <s v="Below 50K"/>
  </r>
  <r>
    <s v="S053"/>
    <s v="Reese Thomas"/>
    <x v="4"/>
    <s v="Undergraduate"/>
    <n v="2027"/>
    <n v="3.22"/>
    <s v="No"/>
    <n v="4"/>
    <n v="1"/>
    <n v="3"/>
    <n v="1"/>
    <s v="No"/>
    <x v="0"/>
    <s v="Full-Time"/>
    <x v="2"/>
    <n v="71774"/>
    <n v="2"/>
    <x v="4"/>
    <x v="0"/>
    <s v="Between 50K and 75K"/>
  </r>
  <r>
    <s v="S054"/>
    <s v="Rowan Thomas"/>
    <x v="3"/>
    <s v="Undergraduate"/>
    <n v="2027"/>
    <n v="3.01"/>
    <s v="No"/>
    <n v="3"/>
    <n v="0"/>
    <n v="2"/>
    <n v="1"/>
    <s v="Yes"/>
    <x v="0"/>
    <s v="Full-Time"/>
    <x v="6"/>
    <n v="71544"/>
    <n v="5"/>
    <x v="5"/>
    <x v="0"/>
    <s v="Between 50K and 75K"/>
  </r>
  <r>
    <s v="S055"/>
    <s v="Drew Johnson"/>
    <x v="2"/>
    <s v="Undergraduate"/>
    <n v="2027"/>
    <n v="3.18"/>
    <s v="No"/>
    <n v="2"/>
    <n v="2"/>
    <n v="2"/>
    <n v="1"/>
    <s v="No"/>
    <x v="1"/>
    <s v="NA"/>
    <x v="1"/>
    <n v="0"/>
    <n v="0"/>
    <x v="3"/>
    <x v="1"/>
    <s v="No Salary"/>
  </r>
  <r>
    <s v="S056"/>
    <s v="Blake Lee"/>
    <x v="4"/>
    <s v="Graduate"/>
    <n v="2026"/>
    <n v="3.65"/>
    <s v="Yes"/>
    <n v="3"/>
    <n v="3"/>
    <n v="2"/>
    <n v="2"/>
    <s v="Yes"/>
    <x v="0"/>
    <s v="Full-Time"/>
    <x v="7"/>
    <n v="63773"/>
    <n v="1"/>
    <x v="2"/>
    <x v="0"/>
    <s v="Between 50K and 75K"/>
  </r>
  <r>
    <s v="S057"/>
    <s v="Rowan Miller"/>
    <x v="4"/>
    <s v="Undergraduate"/>
    <n v="2027"/>
    <n v="3.2"/>
    <s v="Yes"/>
    <n v="2"/>
    <n v="0"/>
    <n v="2"/>
    <n v="1"/>
    <s v="No"/>
    <x v="0"/>
    <s v="Full-Time"/>
    <x v="2"/>
    <n v="69253"/>
    <n v="1"/>
    <x v="8"/>
    <x v="0"/>
    <s v="Between 50K and 75K"/>
  </r>
  <r>
    <s v="S058"/>
    <s v="Morgan Anderson"/>
    <x v="5"/>
    <s v="Graduate"/>
    <n v="2026"/>
    <n v="3.64"/>
    <s v="No"/>
    <n v="4"/>
    <n v="4"/>
    <n v="0"/>
    <n v="2"/>
    <s v="Yes"/>
    <x v="0"/>
    <s v="Part-Time"/>
    <x v="4"/>
    <n v="41785"/>
    <n v="2"/>
    <x v="2"/>
    <x v="0"/>
    <s v="Below 50K"/>
  </r>
  <r>
    <s v="S059"/>
    <s v="Avery Jackson"/>
    <x v="1"/>
    <s v="Undergraduate"/>
    <n v="2027"/>
    <n v="3.01"/>
    <s v="No"/>
    <n v="4"/>
    <n v="2"/>
    <n v="2"/>
    <n v="0"/>
    <s v="Yes"/>
    <x v="0"/>
    <s v="Full-Time"/>
    <x v="2"/>
    <n v="72947"/>
    <n v="3"/>
    <x v="6"/>
    <x v="0"/>
    <s v="Between 50K and 75K"/>
  </r>
  <r>
    <s v="S060"/>
    <s v="Reese Lewis"/>
    <x v="0"/>
    <s v="Undergraduate"/>
    <n v="2026"/>
    <n v="3.74"/>
    <s v="No"/>
    <n v="4"/>
    <n v="0"/>
    <n v="2"/>
    <n v="1"/>
    <s v="No"/>
    <x v="1"/>
    <s v="NA"/>
    <x v="1"/>
    <n v="0"/>
    <n v="0"/>
    <x v="3"/>
    <x v="1"/>
    <s v="No Salary"/>
  </r>
  <r>
    <s v="S061"/>
    <s v="Skyler White"/>
    <x v="5"/>
    <s v="Graduate"/>
    <n v="2026"/>
    <n v="3.75"/>
    <s v="No"/>
    <n v="5"/>
    <n v="2"/>
    <n v="0"/>
    <n v="1"/>
    <s v="Yes"/>
    <x v="2"/>
    <s v="NA"/>
    <x v="1"/>
    <n v="0"/>
    <n v="0"/>
    <x v="6"/>
    <x v="2"/>
    <s v="No Salary"/>
  </r>
  <r>
    <s v="S062"/>
    <s v="Riley Brown"/>
    <x v="4"/>
    <s v="Graduate"/>
    <n v="2026"/>
    <n v="2.91"/>
    <s v="No"/>
    <n v="4"/>
    <n v="1"/>
    <n v="1"/>
    <n v="2"/>
    <s v="Yes"/>
    <x v="0"/>
    <s v="Full-Time"/>
    <x v="0"/>
    <n v="71051"/>
    <n v="3"/>
    <x v="6"/>
    <x v="0"/>
    <s v="Between 50K and 75K"/>
  </r>
  <r>
    <s v="S063"/>
    <s v="Cameron Anderson"/>
    <x v="4"/>
    <s v="Undergraduate"/>
    <n v="2026"/>
    <n v="3.09"/>
    <s v="No"/>
    <n v="5"/>
    <n v="2"/>
    <n v="2"/>
    <n v="0"/>
    <s v="Yes"/>
    <x v="0"/>
    <s v="Full-Time"/>
    <x v="0"/>
    <n v="66867"/>
    <n v="4"/>
    <x v="4"/>
    <x v="0"/>
    <s v="Between 50K and 75K"/>
  </r>
  <r>
    <s v="S064"/>
    <s v="Taylor White"/>
    <x v="4"/>
    <s v="Graduate"/>
    <n v="2026"/>
    <n v="3.64"/>
    <s v="No"/>
    <n v="6"/>
    <n v="1"/>
    <n v="1"/>
    <n v="2"/>
    <s v="Yes"/>
    <x v="0"/>
    <s v="Internship"/>
    <x v="2"/>
    <n v="33221"/>
    <n v="5"/>
    <x v="2"/>
    <x v="0"/>
    <s v="Below 50K"/>
  </r>
  <r>
    <s v="S065"/>
    <s v="Cameron Patel"/>
    <x v="1"/>
    <s v="Undergraduate"/>
    <n v="2027"/>
    <n v="3.72"/>
    <s v="Yes"/>
    <n v="5"/>
    <n v="0"/>
    <n v="2"/>
    <n v="0"/>
    <s v="Yes"/>
    <x v="1"/>
    <s v="NA"/>
    <x v="1"/>
    <n v="0"/>
    <n v="0"/>
    <x v="3"/>
    <x v="1"/>
    <s v="No Salary"/>
  </r>
  <r>
    <s v="S066"/>
    <s v="Quinn Davis"/>
    <x v="2"/>
    <s v="Graduate"/>
    <n v="2026"/>
    <n v="2.86"/>
    <s v="Yes"/>
    <n v="3"/>
    <n v="1"/>
    <n v="1"/>
    <n v="1"/>
    <s v="Yes"/>
    <x v="0"/>
    <s v="Internship"/>
    <x v="7"/>
    <n v="36991"/>
    <n v="6"/>
    <x v="5"/>
    <x v="0"/>
    <s v="Below 50K"/>
  </r>
  <r>
    <s v="S067"/>
    <s v="Morgan White"/>
    <x v="2"/>
    <s v="Graduate"/>
    <n v="2026"/>
    <n v="3.47"/>
    <s v="Yes"/>
    <n v="2"/>
    <n v="1"/>
    <n v="2"/>
    <n v="1"/>
    <s v="Yes"/>
    <x v="0"/>
    <s v="Full-Time"/>
    <x v="2"/>
    <n v="80079"/>
    <n v="3"/>
    <x v="5"/>
    <x v="0"/>
    <s v="Above 75K"/>
  </r>
  <r>
    <s v="S068"/>
    <s v="Hayden Hall"/>
    <x v="0"/>
    <s v="Graduate"/>
    <n v="2026"/>
    <n v="3.89"/>
    <s v="No"/>
    <n v="6"/>
    <n v="3"/>
    <n v="2"/>
    <n v="2"/>
    <s v="Yes"/>
    <x v="0"/>
    <s v="Internship"/>
    <x v="0"/>
    <n v="29402"/>
    <n v="3"/>
    <x v="10"/>
    <x v="0"/>
    <s v="Below 50K"/>
  </r>
  <r>
    <s v="S069"/>
    <s v="Riley Harris"/>
    <x v="5"/>
    <s v="Graduate"/>
    <n v="2027"/>
    <n v="3.13"/>
    <s v="No"/>
    <n v="1"/>
    <n v="3"/>
    <n v="0"/>
    <n v="2"/>
    <s v="Yes"/>
    <x v="0"/>
    <s v="Full-Time"/>
    <x v="6"/>
    <n v="71626"/>
    <n v="2"/>
    <x v="5"/>
    <x v="0"/>
    <s v="Between 50K and 75K"/>
  </r>
  <r>
    <s v="S070"/>
    <s v="Emerson Davis"/>
    <x v="4"/>
    <s v="Undergraduate"/>
    <n v="2026"/>
    <n v="3.13"/>
    <s v="Yes"/>
    <n v="5"/>
    <n v="1"/>
    <n v="1"/>
    <n v="2"/>
    <s v="Yes"/>
    <x v="2"/>
    <s v="NA"/>
    <x v="1"/>
    <n v="0"/>
    <n v="0"/>
    <x v="4"/>
    <x v="2"/>
    <s v="No Salary"/>
  </r>
  <r>
    <s v="S071"/>
    <s v="Rowan Brown"/>
    <x v="2"/>
    <s v="Undergraduate"/>
    <n v="2027"/>
    <n v="3.65"/>
    <s v="Yes"/>
    <n v="3"/>
    <n v="1"/>
    <n v="3"/>
    <n v="1"/>
    <s v="No"/>
    <x v="0"/>
    <s v="Full-Time"/>
    <x v="0"/>
    <n v="74989"/>
    <n v="3"/>
    <x v="6"/>
    <x v="0"/>
    <s v="Between 50K and 75K"/>
  </r>
  <r>
    <s v="S072"/>
    <s v="Quinn Thomas"/>
    <x v="1"/>
    <s v="Undergraduate"/>
    <n v="2026"/>
    <n v="3.3"/>
    <s v="No"/>
    <n v="3"/>
    <n v="0"/>
    <n v="2"/>
    <n v="0"/>
    <s v="Yes"/>
    <x v="0"/>
    <s v="Internship"/>
    <x v="2"/>
    <n v="33080"/>
    <n v="2"/>
    <x v="8"/>
    <x v="0"/>
    <s v="Below 50K"/>
  </r>
  <r>
    <s v="S073"/>
    <s v="Elliot Smith"/>
    <x v="0"/>
    <s v="Graduate"/>
    <n v="2026"/>
    <n v="2.81"/>
    <s v="No"/>
    <n v="5"/>
    <n v="2"/>
    <n v="2"/>
    <n v="3"/>
    <s v="Yes"/>
    <x v="0"/>
    <s v="Part-Time"/>
    <x v="0"/>
    <n v="34039"/>
    <n v="4"/>
    <x v="11"/>
    <x v="0"/>
    <s v="Below 50K"/>
  </r>
  <r>
    <s v="S074"/>
    <s v="Reese Jackson"/>
    <x v="5"/>
    <s v="Graduate"/>
    <n v="2027"/>
    <n v="3.88"/>
    <s v="No"/>
    <n v="3"/>
    <n v="3"/>
    <n v="0"/>
    <n v="3"/>
    <s v="Yes"/>
    <x v="0"/>
    <s v="Full-Time"/>
    <x v="7"/>
    <n v="61128"/>
    <n v="4"/>
    <x v="4"/>
    <x v="0"/>
    <s v="Between 50K and 75K"/>
  </r>
  <r>
    <s v="S075"/>
    <s v="Drew Jackson"/>
    <x v="5"/>
    <s v="Undergraduate"/>
    <n v="2027"/>
    <n v="3.76"/>
    <s v="No"/>
    <n v="3"/>
    <n v="1"/>
    <n v="0"/>
    <n v="0"/>
    <s v="No"/>
    <x v="0"/>
    <s v="Full-Time"/>
    <x v="3"/>
    <n v="55940"/>
    <n v="2"/>
    <x v="1"/>
    <x v="0"/>
    <s v="Between 50K and 75K"/>
  </r>
  <r>
    <s v="S076"/>
    <s v="Hayden Patel"/>
    <x v="3"/>
    <s v="Graduate"/>
    <n v="2027"/>
    <n v="3.51"/>
    <s v="No"/>
    <n v="4"/>
    <n v="2"/>
    <n v="0"/>
    <n v="2"/>
    <s v="No"/>
    <x v="1"/>
    <s v="NA"/>
    <x v="1"/>
    <n v="0"/>
    <n v="0"/>
    <x v="6"/>
    <x v="1"/>
    <s v="No Salary"/>
  </r>
  <r>
    <s v="S077"/>
    <s v="Taylor Jackson"/>
    <x v="2"/>
    <s v="Graduate"/>
    <n v="2026"/>
    <n v="3.25"/>
    <s v="Yes"/>
    <n v="2"/>
    <n v="1"/>
    <n v="1"/>
    <n v="1"/>
    <s v="Yes"/>
    <x v="1"/>
    <s v="NA"/>
    <x v="1"/>
    <n v="0"/>
    <n v="0"/>
    <x v="8"/>
    <x v="1"/>
    <s v="No Salary"/>
  </r>
  <r>
    <s v="S078"/>
    <s v="Skyler Thomas"/>
    <x v="0"/>
    <s v="Undergraduate"/>
    <n v="2027"/>
    <n v="3.8"/>
    <s v="Yes"/>
    <n v="2"/>
    <n v="2"/>
    <n v="2"/>
    <n v="0"/>
    <s v="Yes"/>
    <x v="1"/>
    <s v="NA"/>
    <x v="1"/>
    <n v="0"/>
    <n v="0"/>
    <x v="5"/>
    <x v="1"/>
    <s v="No Salary"/>
  </r>
  <r>
    <s v="S079"/>
    <s v="Taylor Harris"/>
    <x v="2"/>
    <s v="Graduate"/>
    <n v="2027"/>
    <n v="3.22"/>
    <s v="No"/>
    <n v="3"/>
    <n v="1"/>
    <n v="2"/>
    <n v="2"/>
    <s v="Yes"/>
    <x v="0"/>
    <s v="Full-Time"/>
    <x v="2"/>
    <n v="77511"/>
    <n v="6"/>
    <x v="6"/>
    <x v="0"/>
    <s v="Above 75K"/>
  </r>
  <r>
    <s v="S080"/>
    <s v="Jordan Smith"/>
    <x v="3"/>
    <s v="Undergraduate"/>
    <n v="2026"/>
    <n v="2.98"/>
    <s v="Yes"/>
    <n v="1"/>
    <n v="2"/>
    <n v="0"/>
    <n v="0"/>
    <s v="Yes"/>
    <x v="1"/>
    <s v="NA"/>
    <x v="1"/>
    <n v="0"/>
    <n v="0"/>
    <x v="0"/>
    <x v="1"/>
    <s v="No Salary"/>
  </r>
  <r>
    <s v="S081"/>
    <s v="Morgan Walker"/>
    <x v="3"/>
    <s v="Graduate"/>
    <n v="2026"/>
    <n v="3.24"/>
    <s v="No"/>
    <n v="4"/>
    <n v="2"/>
    <n v="1"/>
    <n v="1"/>
    <s v="Yes"/>
    <x v="0"/>
    <s v="Internship"/>
    <x v="6"/>
    <n v="35311"/>
    <n v="1"/>
    <x v="6"/>
    <x v="0"/>
    <s v="Below 50K"/>
  </r>
  <r>
    <s v="S082"/>
    <s v="Morgan Garcia"/>
    <x v="3"/>
    <s v="Undergraduate"/>
    <n v="2026"/>
    <n v="3.17"/>
    <s v="No"/>
    <n v="1"/>
    <n v="0"/>
    <n v="1"/>
    <n v="1"/>
    <s v="Yes"/>
    <x v="0"/>
    <s v="Internship"/>
    <x v="5"/>
    <n v="29438"/>
    <n v="4"/>
    <x v="0"/>
    <x v="0"/>
    <s v="Below 50K"/>
  </r>
  <r>
    <s v="S083"/>
    <s v="Reese Martin"/>
    <x v="3"/>
    <s v="Undergraduate"/>
    <n v="2026"/>
    <n v="3.8"/>
    <s v="Yes"/>
    <n v="6"/>
    <n v="1"/>
    <n v="0"/>
    <n v="0"/>
    <s v="Yes"/>
    <x v="0"/>
    <s v="Full-Time"/>
    <x v="5"/>
    <n v="58051"/>
    <n v="4"/>
    <x v="3"/>
    <x v="0"/>
    <s v="Between 50K and 75K"/>
  </r>
  <r>
    <s v="S084"/>
    <s v="Logan Hall"/>
    <x v="0"/>
    <s v="Graduate"/>
    <n v="2026"/>
    <n v="2.85"/>
    <s v="No"/>
    <n v="3"/>
    <n v="2"/>
    <n v="2"/>
    <n v="2"/>
    <s v="No"/>
    <x v="0"/>
    <s v="Full-Time"/>
    <x v="0"/>
    <n v="73588"/>
    <n v="1"/>
    <x v="4"/>
    <x v="0"/>
    <s v="Between 50K and 75K"/>
  </r>
  <r>
    <s v="S085"/>
    <s v="Parker Brown"/>
    <x v="5"/>
    <s v="Undergraduate"/>
    <n v="2027"/>
    <n v="3.79"/>
    <s v="Yes"/>
    <n v="4"/>
    <n v="1"/>
    <n v="0"/>
    <n v="2"/>
    <s v="Yes"/>
    <x v="0"/>
    <s v="Full-Time"/>
    <x v="0"/>
    <n v="73323"/>
    <n v="3"/>
    <x v="3"/>
    <x v="0"/>
    <s v="Between 50K and 75K"/>
  </r>
  <r>
    <s v="S086"/>
    <s v="Parker White"/>
    <x v="1"/>
    <s v="Undergraduate"/>
    <n v="2027"/>
    <n v="3.96"/>
    <s v="Yes"/>
    <n v="2"/>
    <n v="2"/>
    <n v="1"/>
    <n v="2"/>
    <s v="No"/>
    <x v="0"/>
    <s v="Full-Time"/>
    <x v="5"/>
    <n v="63407"/>
    <n v="2"/>
    <x v="3"/>
    <x v="0"/>
    <s v="Between 50K and 75K"/>
  </r>
  <r>
    <s v="S087"/>
    <s v="Rowan Harris"/>
    <x v="5"/>
    <s v="Graduate"/>
    <n v="2026"/>
    <n v="3.19"/>
    <s v="Yes"/>
    <n v="5"/>
    <n v="0"/>
    <n v="0"/>
    <n v="2"/>
    <s v="Yes"/>
    <x v="1"/>
    <s v="NA"/>
    <x v="1"/>
    <n v="0"/>
    <n v="0"/>
    <x v="3"/>
    <x v="1"/>
    <s v="No Salary"/>
  </r>
  <r>
    <s v="S088"/>
    <s v="Taylor Wilson"/>
    <x v="3"/>
    <s v="Undergraduate"/>
    <n v="2026"/>
    <n v="3.53"/>
    <s v="No"/>
    <n v="4"/>
    <n v="4"/>
    <n v="0"/>
    <n v="1"/>
    <s v="Yes"/>
    <x v="0"/>
    <s v="Full-Time"/>
    <x v="7"/>
    <n v="60049"/>
    <n v="1"/>
    <x v="4"/>
    <x v="0"/>
    <s v="Between 50K and 75K"/>
  </r>
  <r>
    <s v="S089"/>
    <s v="Alex Harris"/>
    <x v="0"/>
    <s v="Undergraduate"/>
    <n v="2026"/>
    <n v="3.76"/>
    <s v="Yes"/>
    <n v="2"/>
    <n v="1"/>
    <n v="1"/>
    <n v="1"/>
    <s v="No"/>
    <x v="1"/>
    <s v="NA"/>
    <x v="1"/>
    <n v="0"/>
    <n v="0"/>
    <x v="8"/>
    <x v="1"/>
    <s v="No Salary"/>
  </r>
  <r>
    <s v="S090"/>
    <s v="Jamie Wilson"/>
    <x v="1"/>
    <s v="Graduate"/>
    <n v="2026"/>
    <n v="3.09"/>
    <s v="No"/>
    <n v="2"/>
    <n v="3"/>
    <n v="3"/>
    <n v="2"/>
    <s v="Yes"/>
    <x v="1"/>
    <s v="NA"/>
    <x v="1"/>
    <n v="0"/>
    <n v="0"/>
    <x v="2"/>
    <x v="1"/>
    <s v="No Salary"/>
  </r>
  <r>
    <s v="S091"/>
    <s v="Rowan Davis"/>
    <x v="1"/>
    <s v="Graduate"/>
    <n v="2026"/>
    <n v="3.75"/>
    <s v="Yes"/>
    <n v="5"/>
    <n v="2"/>
    <n v="2"/>
    <n v="3"/>
    <s v="Yes"/>
    <x v="0"/>
    <s v="Full-Time"/>
    <x v="6"/>
    <n v="74798"/>
    <n v="2"/>
    <x v="11"/>
    <x v="0"/>
    <s v="Between 50K and 75K"/>
  </r>
  <r>
    <s v="S092"/>
    <s v="Cameron Martin"/>
    <x v="1"/>
    <s v="Undergraduate"/>
    <n v="2026"/>
    <n v="3.37"/>
    <s v="No"/>
    <n v="3"/>
    <n v="0"/>
    <n v="2"/>
    <n v="1"/>
    <s v="Yes"/>
    <x v="0"/>
    <s v="Full-Time"/>
    <x v="6"/>
    <n v="69310"/>
    <n v="5"/>
    <x v="5"/>
    <x v="0"/>
    <s v="Between 50K and 75K"/>
  </r>
  <r>
    <s v="S093"/>
    <s v="Quinn Lewis"/>
    <x v="4"/>
    <s v="Graduate"/>
    <n v="2026"/>
    <n v="3.1"/>
    <s v="Yes"/>
    <n v="2"/>
    <n v="4"/>
    <n v="1"/>
    <n v="3"/>
    <s v="Yes"/>
    <x v="0"/>
    <s v="Internship"/>
    <x v="2"/>
    <n v="30007"/>
    <n v="2"/>
    <x v="2"/>
    <x v="0"/>
    <s v="Below 50K"/>
  </r>
  <r>
    <s v="S094"/>
    <s v="Avery Thomas"/>
    <x v="2"/>
    <s v="Graduate"/>
    <n v="2027"/>
    <n v="3.02"/>
    <s v="Yes"/>
    <n v="4"/>
    <n v="2"/>
    <n v="2"/>
    <n v="3"/>
    <s v="Yes"/>
    <x v="0"/>
    <s v="Full-Time"/>
    <x v="0"/>
    <n v="75204"/>
    <n v="4"/>
    <x v="7"/>
    <x v="0"/>
    <s v="Above 75K"/>
  </r>
  <r>
    <s v="S095"/>
    <s v="Emerson Wilson"/>
    <x v="0"/>
    <s v="Graduate"/>
    <n v="2026"/>
    <n v="3.14"/>
    <s v="Yes"/>
    <n v="4"/>
    <n v="2"/>
    <n v="3"/>
    <n v="2"/>
    <s v="No"/>
    <x v="0"/>
    <s v="Full-Time"/>
    <x v="0"/>
    <n v="74071"/>
    <n v="6"/>
    <x v="7"/>
    <x v="0"/>
    <s v="Between 50K and 75K"/>
  </r>
  <r>
    <s v="S096"/>
    <s v="Avery Anderson"/>
    <x v="4"/>
    <s v="Undergraduate"/>
    <n v="2026"/>
    <n v="3.44"/>
    <s v="Yes"/>
    <n v="3"/>
    <n v="2"/>
    <n v="3"/>
    <n v="1"/>
    <s v="No"/>
    <x v="0"/>
    <s v="Full-Time"/>
    <x v="6"/>
    <n v="66440"/>
    <n v="2"/>
    <x v="4"/>
    <x v="0"/>
    <s v="Between 50K and 75K"/>
  </r>
  <r>
    <s v="S097"/>
    <s v="Jordan Lewis"/>
    <x v="4"/>
    <s v="Graduate"/>
    <n v="2026"/>
    <n v="3.7"/>
    <s v="Yes"/>
    <n v="6"/>
    <n v="1"/>
    <n v="2"/>
    <n v="1"/>
    <s v="Yes"/>
    <x v="0"/>
    <s v="Internship"/>
    <x v="6"/>
    <n v="29204"/>
    <n v="2"/>
    <x v="2"/>
    <x v="0"/>
    <s v="Below 50K"/>
  </r>
  <r>
    <s v="S098"/>
    <s v="Alex Walker"/>
    <x v="4"/>
    <s v="Graduate"/>
    <n v="2026"/>
    <n v="3.96"/>
    <s v="Yes"/>
    <n v="3"/>
    <n v="3"/>
    <n v="2"/>
    <n v="1"/>
    <s v="Yes"/>
    <x v="0"/>
    <s v="Internship"/>
    <x v="2"/>
    <n v="33555"/>
    <n v="3"/>
    <x v="4"/>
    <x v="0"/>
    <s v="Below 50K"/>
  </r>
  <r>
    <s v="S099"/>
    <s v="Emerson Lee"/>
    <x v="0"/>
    <s v="Undergraduate"/>
    <n v="2026"/>
    <n v="3.56"/>
    <s v="Yes"/>
    <n v="3"/>
    <n v="2"/>
    <n v="1"/>
    <n v="0"/>
    <s v="Yes"/>
    <x v="0"/>
    <s v="Full-Time"/>
    <x v="6"/>
    <n v="67959"/>
    <n v="3"/>
    <x v="5"/>
    <x v="0"/>
    <s v="Between 50K and 75K"/>
  </r>
  <r>
    <s v="S100"/>
    <s v="Casey Walker"/>
    <x v="3"/>
    <s v="Undergraduate"/>
    <n v="2026"/>
    <n v="3.47"/>
    <s v="No"/>
    <n v="1"/>
    <n v="1"/>
    <n v="0"/>
    <n v="1"/>
    <s v="No"/>
    <x v="1"/>
    <s v="NA"/>
    <x v="1"/>
    <n v="0"/>
    <n v="0"/>
    <x v="0"/>
    <x v="1"/>
    <s v="No Salary"/>
  </r>
  <r>
    <s v="S101"/>
    <s v="Jamie Hall"/>
    <x v="4"/>
    <s v="Graduate"/>
    <n v="2026"/>
    <n v="3.33"/>
    <s v="No"/>
    <n v="3"/>
    <n v="2"/>
    <n v="2"/>
    <n v="1"/>
    <s v="Yes"/>
    <x v="0"/>
    <s v="Full-Time"/>
    <x v="4"/>
    <n v="66733"/>
    <n v="3"/>
    <x v="6"/>
    <x v="0"/>
    <s v="Between 50K and 75K"/>
  </r>
  <r>
    <s v="S102"/>
    <s v="Quinn Anderson"/>
    <x v="1"/>
    <s v="Undergraduate"/>
    <n v="2027"/>
    <n v="2.92"/>
    <s v="No"/>
    <n v="3"/>
    <n v="0"/>
    <n v="2"/>
    <n v="1"/>
    <s v="Yes"/>
    <x v="1"/>
    <s v="NA"/>
    <x v="1"/>
    <n v="0"/>
    <n v="0"/>
    <x v="5"/>
    <x v="1"/>
    <s v="No Salary"/>
  </r>
  <r>
    <s v="S103"/>
    <s v="Avery Wilson"/>
    <x v="1"/>
    <s v="Undergraduate"/>
    <n v="2026"/>
    <n v="2.89"/>
    <s v="Yes"/>
    <n v="3"/>
    <n v="0"/>
    <n v="1"/>
    <n v="0"/>
    <s v="No"/>
    <x v="0"/>
    <s v="Full-Time"/>
    <x v="6"/>
    <n v="67059"/>
    <n v="1"/>
    <x v="1"/>
    <x v="0"/>
    <s v="Between 50K and 75K"/>
  </r>
  <r>
    <s v="S104"/>
    <s v="Hayden Hall"/>
    <x v="5"/>
    <s v="Undergraduate"/>
    <n v="2026"/>
    <n v="3.14"/>
    <s v="No"/>
    <n v="2"/>
    <n v="1"/>
    <n v="1"/>
    <n v="1"/>
    <s v="Yes"/>
    <x v="0"/>
    <s v="Internship"/>
    <x v="3"/>
    <n v="34723"/>
    <n v="2"/>
    <x v="8"/>
    <x v="0"/>
    <s v="Below 50K"/>
  </r>
  <r>
    <s v="S105"/>
    <s v="Taylor Davis"/>
    <x v="3"/>
    <s v="Graduate"/>
    <n v="2026"/>
    <n v="3.59"/>
    <s v="No"/>
    <n v="3"/>
    <n v="2"/>
    <n v="1"/>
    <n v="1"/>
    <s v="No"/>
    <x v="0"/>
    <s v="Full-Time"/>
    <x v="5"/>
    <n v="64566"/>
    <n v="3"/>
    <x v="3"/>
    <x v="0"/>
    <s v="Between 50K and 75K"/>
  </r>
  <r>
    <s v="S106"/>
    <s v="Quinn Lee"/>
    <x v="1"/>
    <s v="Graduate"/>
    <n v="2027"/>
    <n v="3.79"/>
    <s v="Yes"/>
    <n v="4"/>
    <n v="3"/>
    <n v="2"/>
    <n v="2"/>
    <s v="Yes"/>
    <x v="0"/>
    <s v="Full-Time"/>
    <x v="6"/>
    <n v="80124"/>
    <n v="2"/>
    <x v="7"/>
    <x v="0"/>
    <s v="Above 75K"/>
  </r>
  <r>
    <s v="S107"/>
    <s v="Riley Anderson"/>
    <x v="1"/>
    <s v="Graduate"/>
    <n v="2027"/>
    <n v="3.33"/>
    <s v="No"/>
    <n v="5"/>
    <n v="1"/>
    <n v="1"/>
    <n v="3"/>
    <s v="No"/>
    <x v="0"/>
    <s v="Full-Time"/>
    <x v="6"/>
    <n v="74920"/>
    <n v="2"/>
    <x v="2"/>
    <x v="0"/>
    <s v="Between 50K and 75K"/>
  </r>
  <r>
    <s v="S108"/>
    <s v="Logan Martin"/>
    <x v="3"/>
    <s v="Graduate"/>
    <n v="2026"/>
    <n v="2.9"/>
    <s v="Yes"/>
    <n v="2"/>
    <n v="3"/>
    <n v="1"/>
    <n v="1"/>
    <s v="Yes"/>
    <x v="1"/>
    <s v="NA"/>
    <x v="1"/>
    <n v="0"/>
    <n v="0"/>
    <x v="3"/>
    <x v="1"/>
    <s v="No Salary"/>
  </r>
  <r>
    <s v="S109"/>
    <s v="Quinn Thomas"/>
    <x v="1"/>
    <s v="Undergraduate"/>
    <n v="2026"/>
    <n v="3.61"/>
    <s v="No"/>
    <n v="1"/>
    <n v="3"/>
    <n v="3"/>
    <n v="0"/>
    <s v="No"/>
    <x v="0"/>
    <s v="Full-Time"/>
    <x v="6"/>
    <n v="71543"/>
    <n v="5"/>
    <x v="3"/>
    <x v="0"/>
    <s v="Between 50K and 75K"/>
  </r>
  <r>
    <s v="S110"/>
    <s v="Elliot Smith"/>
    <x v="3"/>
    <s v="Graduate"/>
    <n v="2026"/>
    <n v="2.85"/>
    <s v="No"/>
    <n v="2"/>
    <n v="0"/>
    <n v="1"/>
    <n v="3"/>
    <s v="Yes"/>
    <x v="2"/>
    <s v="NA"/>
    <x v="1"/>
    <n v="0"/>
    <n v="0"/>
    <x v="5"/>
    <x v="2"/>
    <s v="No Salary"/>
  </r>
  <r>
    <s v="S111"/>
    <s v="Emerson Clark"/>
    <x v="1"/>
    <s v="Graduate"/>
    <n v="2026"/>
    <n v="3.5"/>
    <s v="No"/>
    <n v="4"/>
    <n v="3"/>
    <n v="2"/>
    <n v="1"/>
    <s v="Yes"/>
    <x v="2"/>
    <s v="NA"/>
    <x v="1"/>
    <n v="0"/>
    <n v="0"/>
    <x v="2"/>
    <x v="2"/>
    <s v="No Salary"/>
  </r>
  <r>
    <s v="S112"/>
    <s v="Emerson Brown"/>
    <x v="5"/>
    <s v="Undergraduate"/>
    <n v="2026"/>
    <n v="2.93"/>
    <s v="Yes"/>
    <n v="3"/>
    <n v="1"/>
    <n v="1"/>
    <n v="1"/>
    <s v="Yes"/>
    <x v="1"/>
    <s v="NA"/>
    <x v="1"/>
    <n v="0"/>
    <n v="0"/>
    <x v="5"/>
    <x v="1"/>
    <s v="No Salary"/>
  </r>
  <r>
    <s v="S113"/>
    <s v="Quinn Harris"/>
    <x v="4"/>
    <s v="Graduate"/>
    <n v="2027"/>
    <n v="3.46"/>
    <s v="No"/>
    <n v="6"/>
    <n v="3"/>
    <n v="2"/>
    <n v="2"/>
    <s v="Yes"/>
    <x v="0"/>
    <s v="Full-Time"/>
    <x v="3"/>
    <n v="56525"/>
    <n v="2"/>
    <x v="10"/>
    <x v="0"/>
    <s v="Between 50K and 75K"/>
  </r>
  <r>
    <s v="S114"/>
    <s v="Skyler Wilson"/>
    <x v="4"/>
    <s v="Graduate"/>
    <n v="2026"/>
    <n v="3.42"/>
    <s v="No"/>
    <n v="2"/>
    <n v="0"/>
    <n v="3"/>
    <n v="2"/>
    <s v="Yes"/>
    <x v="2"/>
    <s v="NA"/>
    <x v="1"/>
    <n v="0"/>
    <n v="0"/>
    <x v="3"/>
    <x v="2"/>
    <s v="No Salary"/>
  </r>
  <r>
    <s v="S115"/>
    <s v="Rowan White"/>
    <x v="4"/>
    <s v="Undergraduate"/>
    <n v="2026"/>
    <n v="3.71"/>
    <s v="No"/>
    <n v="6"/>
    <n v="1"/>
    <n v="2"/>
    <n v="2"/>
    <s v="Yes"/>
    <x v="2"/>
    <s v="NA"/>
    <x v="1"/>
    <n v="0"/>
    <n v="0"/>
    <x v="7"/>
    <x v="2"/>
    <s v="No Salary"/>
  </r>
  <r>
    <s v="S116"/>
    <s v="Jordan Miller"/>
    <x v="4"/>
    <s v="Undergraduate"/>
    <n v="2026"/>
    <n v="3.86"/>
    <s v="No"/>
    <n v="5"/>
    <n v="2"/>
    <n v="0"/>
    <n v="1"/>
    <s v="No"/>
    <x v="1"/>
    <s v="NA"/>
    <x v="1"/>
    <n v="0"/>
    <n v="0"/>
    <x v="6"/>
    <x v="1"/>
    <s v="No Salary"/>
  </r>
  <r>
    <s v="S117"/>
    <s v="Alex Hall"/>
    <x v="0"/>
    <s v="Graduate"/>
    <n v="2026"/>
    <n v="2.82"/>
    <s v="No"/>
    <n v="4"/>
    <n v="2"/>
    <n v="1"/>
    <n v="2"/>
    <s v="No"/>
    <x v="0"/>
    <s v="Part-Time"/>
    <x v="6"/>
    <n v="40092"/>
    <n v="5"/>
    <x v="4"/>
    <x v="0"/>
    <s v="Below 50K"/>
  </r>
  <r>
    <s v="S118"/>
    <s v="Cameron Lee"/>
    <x v="5"/>
    <s v="Undergraduate"/>
    <n v="2027"/>
    <n v="3.4"/>
    <s v="No"/>
    <n v="4"/>
    <n v="2"/>
    <n v="0"/>
    <n v="2"/>
    <s v="Yes"/>
    <x v="2"/>
    <s v="NA"/>
    <x v="1"/>
    <n v="0"/>
    <n v="0"/>
    <x v="6"/>
    <x v="2"/>
    <s v="No Salary"/>
  </r>
  <r>
    <s v="S119"/>
    <s v="Blake Wilson"/>
    <x v="4"/>
    <s v="Graduate"/>
    <n v="2026"/>
    <n v="3.35"/>
    <s v="Yes"/>
    <n v="2"/>
    <n v="0"/>
    <n v="2"/>
    <n v="2"/>
    <s v="Yes"/>
    <x v="2"/>
    <s v="NA"/>
    <x v="1"/>
    <n v="0"/>
    <n v="0"/>
    <x v="5"/>
    <x v="2"/>
    <s v="No Salary"/>
  </r>
  <r>
    <s v="S120"/>
    <s v="Avery Hall"/>
    <x v="5"/>
    <s v="Graduate"/>
    <n v="2027"/>
    <n v="3.13"/>
    <s v="No"/>
    <n v="4"/>
    <n v="3"/>
    <n v="0"/>
    <n v="1"/>
    <s v="Yes"/>
    <x v="0"/>
    <s v="Full-Time"/>
    <x v="5"/>
    <n v="61332"/>
    <n v="2"/>
    <x v="6"/>
    <x v="0"/>
    <s v="Between 50K and 75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D5300D-A35D-4238-94CF-C6E3D2EEADB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ajors" colHeaderCaption="Emplyment Status">
  <location ref="A14:E20" firstHeaderRow="1" firstDataRow="2" firstDataCol="1"/>
  <pivotFields count="20">
    <pivotField dataField="1" showAll="0"/>
    <pivotField showAll="0"/>
    <pivotField axis="axisRow" showAll="0">
      <items count="7">
        <item x="2"/>
        <item h="1" x="4"/>
        <item h="1" x="1"/>
        <item x="5"/>
        <item x="0"/>
        <item x="3"/>
        <item t="default"/>
      </items>
    </pivotField>
    <pivotField showAll="0"/>
    <pivotField showAll="0"/>
    <pivotField showAll="0"/>
    <pivotField showAll="0"/>
    <pivotField showAll="0"/>
    <pivotField showAll="0"/>
    <pivotField showAll="0"/>
    <pivotField showAll="0"/>
    <pivotField showAll="0"/>
    <pivotField axis="axisCol" showAll="0">
      <items count="4">
        <item x="2"/>
        <item x="0"/>
        <item x="1"/>
        <item t="default"/>
      </items>
    </pivotField>
    <pivotField showAll="0"/>
    <pivotField showAll="0"/>
    <pivotField showAll="0"/>
    <pivotField showAll="0"/>
    <pivotField showAll="0"/>
    <pivotField showAll="0">
      <items count="4">
        <item x="2"/>
        <item x="0"/>
        <item x="1"/>
        <item t="default"/>
      </items>
    </pivotField>
    <pivotField showAll="0"/>
  </pivotFields>
  <rowFields count="1">
    <field x="2"/>
  </rowFields>
  <rowItems count="5">
    <i>
      <x/>
    </i>
    <i>
      <x v="3"/>
    </i>
    <i>
      <x v="4"/>
    </i>
    <i>
      <x v="5"/>
    </i>
    <i t="grand">
      <x/>
    </i>
  </rowItems>
  <colFields count="1">
    <field x="12"/>
  </colFields>
  <colItems count="4">
    <i>
      <x/>
    </i>
    <i>
      <x v="1"/>
    </i>
    <i>
      <x v="2"/>
    </i>
    <i t="grand">
      <x/>
    </i>
  </colItems>
  <dataFields count="1">
    <dataField name="Student Count" fld="0" subtotal="count" baseField="0" baseItem="0"/>
  </dataFields>
  <chartFormats count="6">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5" format="6" series="1">
      <pivotArea type="data" outline="0" fieldPosition="0">
        <references count="2">
          <reference field="4294967294" count="1" selected="0">
            <x v="0"/>
          </reference>
          <reference field="12" count="1" selected="0">
            <x v="0"/>
          </reference>
        </references>
      </pivotArea>
    </chartFormat>
    <chartFormat chart="5" format="7" series="1">
      <pivotArea type="data" outline="0" fieldPosition="0">
        <references count="2">
          <reference field="4294967294" count="1" selected="0">
            <x v="0"/>
          </reference>
          <reference field="12" count="1" selected="0">
            <x v="1"/>
          </reference>
        </references>
      </pivotArea>
    </chartFormat>
    <chartFormat chart="5" format="8"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563E72-A4DE-4353-A763-9DF21E68CA0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E3:G7" firstHeaderRow="0" firstDataRow="1" firstDataCol="1"/>
  <pivotFields count="20">
    <pivotField dataField="1" showAll="0"/>
    <pivotField showAll="0"/>
    <pivotField showAll="0">
      <items count="7">
        <item x="2"/>
        <item h="1" x="4"/>
        <item h="1" x="1"/>
        <item x="5"/>
        <item x="0"/>
        <item x="3"/>
        <item t="default"/>
      </items>
    </pivotField>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s>
  <rowFields count="1">
    <field x="12"/>
  </rowFields>
  <rowItems count="4">
    <i>
      <x/>
    </i>
    <i>
      <x v="1"/>
    </i>
    <i>
      <x v="2"/>
    </i>
    <i t="grand">
      <x/>
    </i>
  </rowItems>
  <colFields count="1">
    <field x="-2"/>
  </colFields>
  <colItems count="2">
    <i>
      <x/>
    </i>
    <i i="1">
      <x v="1"/>
    </i>
  </colItems>
  <dataFields count="2">
    <dataField name="Total Students" fld="0" subtotal="count" baseField="12" baseItem="0"/>
    <dataField name="% of Students" fld="0" subtotal="count" showDataAs="percentOfTotal" baseField="12" baseItem="0" numFmtId="10"/>
  </dataFields>
  <chartFormats count="3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12" count="1" selected="0">
            <x v="0"/>
          </reference>
        </references>
      </pivotArea>
    </chartFormat>
    <chartFormat chart="3" format="12">
      <pivotArea type="data" outline="0" fieldPosition="0">
        <references count="2">
          <reference field="4294967294" count="1" selected="0">
            <x v="0"/>
          </reference>
          <reference field="12" count="1" selected="0">
            <x v="1"/>
          </reference>
        </references>
      </pivotArea>
    </chartFormat>
    <chartFormat chart="3" format="13">
      <pivotArea type="data" outline="0" fieldPosition="0">
        <references count="2">
          <reference field="4294967294" count="1" selected="0">
            <x v="0"/>
          </reference>
          <reference field="12" count="1" selected="0">
            <x v="2"/>
          </reference>
        </references>
      </pivotArea>
    </chartFormat>
    <chartFormat chart="3" format="14" series="1">
      <pivotArea type="data" outline="0" fieldPosition="0">
        <references count="1">
          <reference field="4294967294" count="1" selected="0">
            <x v="1"/>
          </reference>
        </references>
      </pivotArea>
    </chartFormat>
    <chartFormat chart="3" format="15">
      <pivotArea type="data" outline="0" fieldPosition="0">
        <references count="2">
          <reference field="4294967294" count="1" selected="0">
            <x v="1"/>
          </reference>
          <reference field="12" count="1" selected="0">
            <x v="0"/>
          </reference>
        </references>
      </pivotArea>
    </chartFormat>
    <chartFormat chart="3" format="16">
      <pivotArea type="data" outline="0" fieldPosition="0">
        <references count="2">
          <reference field="4294967294" count="1" selected="0">
            <x v="1"/>
          </reference>
          <reference field="12" count="1" selected="0">
            <x v="1"/>
          </reference>
        </references>
      </pivotArea>
    </chartFormat>
    <chartFormat chart="3" format="17">
      <pivotArea type="data" outline="0" fieldPosition="0">
        <references count="2">
          <reference field="4294967294" count="1" selected="0">
            <x v="1"/>
          </reference>
          <reference field="12" count="1" selected="0">
            <x v="2"/>
          </reference>
        </references>
      </pivotArea>
    </chartFormat>
    <chartFormat chart="6" format="26" series="1">
      <pivotArea type="data" outline="0" fieldPosition="0">
        <references count="1">
          <reference field="4294967294" count="1" selected="0">
            <x v="0"/>
          </reference>
        </references>
      </pivotArea>
    </chartFormat>
    <chartFormat chart="6" format="27">
      <pivotArea type="data" outline="0" fieldPosition="0">
        <references count="2">
          <reference field="4294967294" count="1" selected="0">
            <x v="0"/>
          </reference>
          <reference field="12" count="1" selected="0">
            <x v="0"/>
          </reference>
        </references>
      </pivotArea>
    </chartFormat>
    <chartFormat chart="6" format="28">
      <pivotArea type="data" outline="0" fieldPosition="0">
        <references count="2">
          <reference field="4294967294" count="1" selected="0">
            <x v="0"/>
          </reference>
          <reference field="12" count="1" selected="0">
            <x v="1"/>
          </reference>
        </references>
      </pivotArea>
    </chartFormat>
    <chartFormat chart="6" format="29">
      <pivotArea type="data" outline="0" fieldPosition="0">
        <references count="2">
          <reference field="4294967294" count="1" selected="0">
            <x v="0"/>
          </reference>
          <reference field="12" count="1" selected="0">
            <x v="2"/>
          </reference>
        </references>
      </pivotArea>
    </chartFormat>
    <chartFormat chart="6" format="30" series="1">
      <pivotArea type="data" outline="0" fieldPosition="0">
        <references count="1">
          <reference field="4294967294" count="1" selected="0">
            <x v="1"/>
          </reference>
        </references>
      </pivotArea>
    </chartFormat>
    <chartFormat chart="6" format="31">
      <pivotArea type="data" outline="0" fieldPosition="0">
        <references count="2">
          <reference field="4294967294" count="1" selected="0">
            <x v="1"/>
          </reference>
          <reference field="12" count="1" selected="0">
            <x v="0"/>
          </reference>
        </references>
      </pivotArea>
    </chartFormat>
    <chartFormat chart="6" format="32">
      <pivotArea type="data" outline="0" fieldPosition="0">
        <references count="2">
          <reference field="4294967294" count="1" selected="0">
            <x v="1"/>
          </reference>
          <reference field="12" count="1" selected="0">
            <x v="1"/>
          </reference>
        </references>
      </pivotArea>
    </chartFormat>
    <chartFormat chart="6" format="33">
      <pivotArea type="data" outline="0" fieldPosition="0">
        <references count="2">
          <reference field="4294967294" count="1" selected="0">
            <x v="1"/>
          </reference>
          <reference field="12" count="1" selected="0">
            <x v="2"/>
          </reference>
        </references>
      </pivotArea>
    </chartFormat>
    <chartFormat chart="9" format="42" series="1">
      <pivotArea type="data" outline="0" fieldPosition="0">
        <references count="1">
          <reference field="4294967294" count="1" selected="0">
            <x v="0"/>
          </reference>
        </references>
      </pivotArea>
    </chartFormat>
    <chartFormat chart="9" format="43">
      <pivotArea type="data" outline="0" fieldPosition="0">
        <references count="2">
          <reference field="4294967294" count="1" selected="0">
            <x v="0"/>
          </reference>
          <reference field="12" count="1" selected="0">
            <x v="0"/>
          </reference>
        </references>
      </pivotArea>
    </chartFormat>
    <chartFormat chart="9" format="44">
      <pivotArea type="data" outline="0" fieldPosition="0">
        <references count="2">
          <reference field="4294967294" count="1" selected="0">
            <x v="0"/>
          </reference>
          <reference field="12" count="1" selected="0">
            <x v="1"/>
          </reference>
        </references>
      </pivotArea>
    </chartFormat>
    <chartFormat chart="9" format="45">
      <pivotArea type="data" outline="0" fieldPosition="0">
        <references count="2">
          <reference field="4294967294" count="1" selected="0">
            <x v="0"/>
          </reference>
          <reference field="12" count="1" selected="0">
            <x v="2"/>
          </reference>
        </references>
      </pivotArea>
    </chartFormat>
    <chartFormat chart="9" format="46" series="1">
      <pivotArea type="data" outline="0" fieldPosition="0">
        <references count="1">
          <reference field="4294967294" count="1" selected="0">
            <x v="1"/>
          </reference>
        </references>
      </pivotArea>
    </chartFormat>
    <chartFormat chart="9" format="47">
      <pivotArea type="data" outline="0" fieldPosition="0">
        <references count="2">
          <reference field="4294967294" count="1" selected="0">
            <x v="1"/>
          </reference>
          <reference field="12" count="1" selected="0">
            <x v="0"/>
          </reference>
        </references>
      </pivotArea>
    </chartFormat>
    <chartFormat chart="9" format="48">
      <pivotArea type="data" outline="0" fieldPosition="0">
        <references count="2">
          <reference field="4294967294" count="1" selected="0">
            <x v="1"/>
          </reference>
          <reference field="12" count="1" selected="0">
            <x v="1"/>
          </reference>
        </references>
      </pivotArea>
    </chartFormat>
    <chartFormat chart="9" format="49">
      <pivotArea type="data" outline="0" fieldPosition="0">
        <references count="2">
          <reference field="4294967294" count="1" selected="0">
            <x v="1"/>
          </reference>
          <reference field="12" count="1" selected="0">
            <x v="2"/>
          </reference>
        </references>
      </pivotArea>
    </chartFormat>
    <chartFormat chart="18" format="58" series="1">
      <pivotArea type="data" outline="0" fieldPosition="0">
        <references count="1">
          <reference field="4294967294" count="1" selected="0">
            <x v="0"/>
          </reference>
        </references>
      </pivotArea>
    </chartFormat>
    <chartFormat chart="18" format="59">
      <pivotArea type="data" outline="0" fieldPosition="0">
        <references count="2">
          <reference field="4294967294" count="1" selected="0">
            <x v="0"/>
          </reference>
          <reference field="12" count="1" selected="0">
            <x v="0"/>
          </reference>
        </references>
      </pivotArea>
    </chartFormat>
    <chartFormat chart="18" format="60">
      <pivotArea type="data" outline="0" fieldPosition="0">
        <references count="2">
          <reference field="4294967294" count="1" selected="0">
            <x v="0"/>
          </reference>
          <reference field="12" count="1" selected="0">
            <x v="1"/>
          </reference>
        </references>
      </pivotArea>
    </chartFormat>
    <chartFormat chart="18" format="61">
      <pivotArea type="data" outline="0" fieldPosition="0">
        <references count="2">
          <reference field="4294967294" count="1" selected="0">
            <x v="0"/>
          </reference>
          <reference field="12" count="1" selected="0">
            <x v="2"/>
          </reference>
        </references>
      </pivotArea>
    </chartFormat>
    <chartFormat chart="18" format="62" series="1">
      <pivotArea type="data" outline="0" fieldPosition="0">
        <references count="1">
          <reference field="4294967294" count="1" selected="0">
            <x v="1"/>
          </reference>
        </references>
      </pivotArea>
    </chartFormat>
    <chartFormat chart="18" format="63">
      <pivotArea type="data" outline="0" fieldPosition="0">
        <references count="2">
          <reference field="4294967294" count="1" selected="0">
            <x v="1"/>
          </reference>
          <reference field="12" count="1" selected="0">
            <x v="0"/>
          </reference>
        </references>
      </pivotArea>
    </chartFormat>
    <chartFormat chart="18" format="64">
      <pivotArea type="data" outline="0" fieldPosition="0">
        <references count="2">
          <reference field="4294967294" count="1" selected="0">
            <x v="1"/>
          </reference>
          <reference field="12" count="1" selected="0">
            <x v="1"/>
          </reference>
        </references>
      </pivotArea>
    </chartFormat>
    <chartFormat chart="18" format="65">
      <pivotArea type="data" outline="0" fieldPosition="0">
        <references count="2">
          <reference field="4294967294" count="1" selected="0">
            <x v="1"/>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CEA951-38F9-4E5F-9BA9-18B358EAC98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ajors">
  <location ref="B26:C31" firstHeaderRow="1" firstDataRow="1" firstDataCol="1"/>
  <pivotFields count="20">
    <pivotField showAll="0"/>
    <pivotField showAll="0"/>
    <pivotField axis="axisRow" showAll="0">
      <items count="7">
        <item x="2"/>
        <item h="1" x="4"/>
        <item h="1" x="1"/>
        <item x="5"/>
        <item x="0"/>
        <item x="3"/>
        <item t="default"/>
      </items>
    </pivotField>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dataField="1" showAll="0"/>
    <pivotField showAll="0"/>
    <pivotField showAll="0"/>
    <pivotField showAll="0"/>
    <pivotField showAll="0"/>
  </pivotFields>
  <rowFields count="1">
    <field x="2"/>
  </rowFields>
  <rowItems count="5">
    <i>
      <x/>
    </i>
    <i>
      <x v="3"/>
    </i>
    <i>
      <x v="4"/>
    </i>
    <i>
      <x v="5"/>
    </i>
    <i t="grand">
      <x/>
    </i>
  </rowItems>
  <colItems count="1">
    <i/>
  </colItems>
  <dataFields count="1">
    <dataField name="Average of Salary" fld="15" subtotal="average" baseField="2" baseItem="0" numFmtId="44"/>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4B6D9B-BD3C-4472-850C-BCF8D326576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Total CCC events/sessions" colHeaderCaption="Outcome">
  <location ref="H21:L35" firstHeaderRow="1" firstDataRow="2" firstDataCol="1"/>
  <pivotFields count="20">
    <pivotField dataField="1" showAll="0"/>
    <pivotField showAll="0"/>
    <pivotField showAll="0">
      <items count="7">
        <item x="2"/>
        <item h="1" x="4"/>
        <item h="1" x="1"/>
        <item x="5"/>
        <item x="0"/>
        <item x="3"/>
        <item t="default"/>
      </items>
    </pivotField>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axis="axisRow" showAll="0">
      <items count="13">
        <item x="0"/>
        <item x="1"/>
        <item x="8"/>
        <item x="5"/>
        <item x="3"/>
        <item x="6"/>
        <item x="4"/>
        <item x="2"/>
        <item x="7"/>
        <item x="11"/>
        <item x="10"/>
        <item x="9"/>
        <item t="default"/>
      </items>
    </pivotField>
    <pivotField axis="axisCol" showAll="0">
      <items count="4">
        <item x="2"/>
        <item x="0"/>
        <item x="1"/>
        <item t="default"/>
      </items>
    </pivotField>
    <pivotField showAll="0"/>
  </pivotFields>
  <rowFields count="1">
    <field x="17"/>
  </rowFields>
  <rowItems count="13">
    <i>
      <x/>
    </i>
    <i>
      <x v="1"/>
    </i>
    <i>
      <x v="2"/>
    </i>
    <i>
      <x v="3"/>
    </i>
    <i>
      <x v="4"/>
    </i>
    <i>
      <x v="5"/>
    </i>
    <i>
      <x v="6"/>
    </i>
    <i>
      <x v="7"/>
    </i>
    <i>
      <x v="8"/>
    </i>
    <i>
      <x v="9"/>
    </i>
    <i>
      <x v="10"/>
    </i>
    <i>
      <x v="11"/>
    </i>
    <i t="grand">
      <x/>
    </i>
  </rowItems>
  <colFields count="1">
    <field x="18"/>
  </colFields>
  <colItems count="4">
    <i>
      <x/>
    </i>
    <i>
      <x v="1"/>
    </i>
    <i>
      <x v="2"/>
    </i>
    <i t="grand">
      <x/>
    </i>
  </colItems>
  <dataFields count="1">
    <dataField name="Student Count" fld="0" subtotal="count" baseField="0" baseItem="0"/>
  </dataFields>
  <chartFormats count="12">
    <chartFormat chart="0" format="0" series="1">
      <pivotArea type="data" outline="0" fieldPosition="0">
        <references count="2">
          <reference field="4294967294" count="1" selected="0">
            <x v="0"/>
          </reference>
          <reference field="18" count="1" selected="0">
            <x v="0"/>
          </reference>
        </references>
      </pivotArea>
    </chartFormat>
    <chartFormat chart="0" format="1" series="1">
      <pivotArea type="data" outline="0" fieldPosition="0">
        <references count="2">
          <reference field="4294967294" count="1" selected="0">
            <x v="0"/>
          </reference>
          <reference field="18" count="1" selected="0">
            <x v="1"/>
          </reference>
        </references>
      </pivotArea>
    </chartFormat>
    <chartFormat chart="0" format="2" series="1">
      <pivotArea type="data" outline="0" fieldPosition="0">
        <references count="2">
          <reference field="4294967294" count="1" selected="0">
            <x v="0"/>
          </reference>
          <reference field="18" count="1" selected="0">
            <x v="2"/>
          </reference>
        </references>
      </pivotArea>
    </chartFormat>
    <chartFormat chart="3" format="6" series="1">
      <pivotArea type="data" outline="0" fieldPosition="0">
        <references count="2">
          <reference field="4294967294" count="1" selected="0">
            <x v="0"/>
          </reference>
          <reference field="18" count="1" selected="0">
            <x v="0"/>
          </reference>
        </references>
      </pivotArea>
    </chartFormat>
    <chartFormat chart="3" format="7" series="1">
      <pivotArea type="data" outline="0" fieldPosition="0">
        <references count="2">
          <reference field="4294967294" count="1" selected="0">
            <x v="0"/>
          </reference>
          <reference field="18" count="1" selected="0">
            <x v="1"/>
          </reference>
        </references>
      </pivotArea>
    </chartFormat>
    <chartFormat chart="3" format="8" series="1">
      <pivotArea type="data" outline="0" fieldPosition="0">
        <references count="2">
          <reference field="4294967294" count="1" selected="0">
            <x v="0"/>
          </reference>
          <reference field="18" count="1" selected="0">
            <x v="2"/>
          </reference>
        </references>
      </pivotArea>
    </chartFormat>
    <chartFormat chart="4" format="0" series="1">
      <pivotArea type="data" outline="0" fieldPosition="0">
        <references count="2">
          <reference field="4294967294" count="1" selected="0">
            <x v="0"/>
          </reference>
          <reference field="18" count="1" selected="0">
            <x v="0"/>
          </reference>
        </references>
      </pivotArea>
    </chartFormat>
    <chartFormat chart="4" format="1" series="1">
      <pivotArea type="data" outline="0" fieldPosition="0">
        <references count="2">
          <reference field="4294967294" count="1" selected="0">
            <x v="0"/>
          </reference>
          <reference field="18" count="1" selected="0">
            <x v="1"/>
          </reference>
        </references>
      </pivotArea>
    </chartFormat>
    <chartFormat chart="4" format="2" series="1">
      <pivotArea type="data" outline="0" fieldPosition="0">
        <references count="2">
          <reference field="4294967294" count="1" selected="0">
            <x v="0"/>
          </reference>
          <reference field="18" count="1" selected="0">
            <x v="2"/>
          </reference>
        </references>
      </pivotArea>
    </chartFormat>
    <chartFormat chart="7" format="6" series="1">
      <pivotArea type="data" outline="0" fieldPosition="0">
        <references count="2">
          <reference field="4294967294" count="1" selected="0">
            <x v="0"/>
          </reference>
          <reference field="18" count="1" selected="0">
            <x v="0"/>
          </reference>
        </references>
      </pivotArea>
    </chartFormat>
    <chartFormat chart="7" format="7" series="1">
      <pivotArea type="data" outline="0" fieldPosition="0">
        <references count="2">
          <reference field="4294967294" count="1" selected="0">
            <x v="0"/>
          </reference>
          <reference field="18" count="1" selected="0">
            <x v="1"/>
          </reference>
        </references>
      </pivotArea>
    </chartFormat>
    <chartFormat chart="7" format="8" series="1">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7DDDFA-FF13-4900-A30B-A9981F72074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Majors">
  <location ref="I7:K16" firstHeaderRow="0" firstDataRow="1" firstDataCol="1"/>
  <pivotFields count="20">
    <pivotField dataField="1" showAll="0"/>
    <pivotField showAll="0"/>
    <pivotField showAll="0">
      <items count="7">
        <item x="2"/>
        <item h="1" x="4"/>
        <item h="1" x="1"/>
        <item x="5"/>
        <item x="0"/>
        <item x="3"/>
        <item t="default"/>
      </items>
    </pivotField>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axis="axisRow" showAll="0">
      <items count="9">
        <item x="6"/>
        <item x="3"/>
        <item x="0"/>
        <item x="4"/>
        <item x="5"/>
        <item x="1"/>
        <item x="7"/>
        <item x="2"/>
        <item t="default"/>
      </items>
    </pivotField>
    <pivotField showAll="0"/>
    <pivotField showAll="0"/>
    <pivotField showAll="0"/>
    <pivotField showAll="0"/>
    <pivotField showAll="0"/>
  </pivotFields>
  <rowFields count="1">
    <field x="14"/>
  </rowFields>
  <rowItems count="9">
    <i>
      <x/>
    </i>
    <i>
      <x v="1"/>
    </i>
    <i>
      <x v="2"/>
    </i>
    <i>
      <x v="3"/>
    </i>
    <i>
      <x v="4"/>
    </i>
    <i>
      <x v="5"/>
    </i>
    <i>
      <x v="6"/>
    </i>
    <i>
      <x v="7"/>
    </i>
    <i t="grand">
      <x/>
    </i>
  </rowItems>
  <colFields count="1">
    <field x="-2"/>
  </colFields>
  <colItems count="2">
    <i>
      <x/>
    </i>
    <i i="1">
      <x v="1"/>
    </i>
  </colItems>
  <dataFields count="2">
    <dataField name="Student Count" fld="0" subtotal="count" baseField="14" baseItem="0"/>
    <dataField name="% of Students" fld="0" subtotal="count" showDataAs="percentOfTotal" baseField="14" baseItem="0" numFmtId="1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Status" xr10:uid="{6AFA5E91-1BB8-4C86-8538-A8DF86B3F555}" sourceName="Employment_Status">
  <pivotTables>
    <pivotTable tabId="9" name="PivotTable1"/>
    <pivotTable tabId="9" name="PivotTable2"/>
    <pivotTable tabId="9" name="PivotTable3"/>
    <pivotTable tabId="9" name="PivotTable4"/>
    <pivotTable tabId="9" name="PivotTable5"/>
  </pivotTables>
  <data>
    <tabular pivotCacheId="205256246">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jor" xr10:uid="{1440F6AF-2765-4402-A76D-99BE6540965E}" sourceName="Major">
  <pivotTables>
    <pivotTable tabId="9" name="PivotTable2"/>
    <pivotTable tabId="9" name="PivotTable1"/>
    <pivotTable tabId="9" name="PivotTable3"/>
    <pivotTable tabId="9" name="PivotTable4"/>
    <pivotTable tabId="9" name="PivotTable5"/>
  </pivotTables>
  <data>
    <tabular pivotCacheId="205256246">
      <items count="6">
        <i x="2" s="1"/>
        <i x="4"/>
        <i x="1"/>
        <i x="5"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ment_Status" xr10:uid="{F2A4BAC7-AD1E-495D-A429-A69CD0FE231A}" cache="Slicer_Employment_Status" caption="Employment_Status" rowHeight="241300"/>
  <slicer name="Major" xr10:uid="{FD2E1C77-0295-4CFB-8E49-6408CD35011A}" cache="Slicer_Major" caption="Major" rowHeight="241300"/>
</slicers>
</file>

<file path=xl/theme/theme1.xml><?xml version="1.0" encoding="utf-8"?>
<a:theme xmlns:a="http://schemas.openxmlformats.org/drawingml/2006/main" name="Office">
  <a:themeElements>
    <a:clrScheme name="Custom 4">
      <a:dk1>
        <a:sysClr val="windowText" lastClr="000000"/>
      </a:dk1>
      <a:lt1>
        <a:sysClr val="window" lastClr="FFFFFF"/>
      </a:lt1>
      <a:dk2>
        <a:srgbClr val="1F497D"/>
      </a:dk2>
      <a:lt2>
        <a:srgbClr val="EEECE1"/>
      </a:lt2>
      <a:accent1>
        <a:srgbClr val="4F81BD"/>
      </a:accent1>
      <a:accent2>
        <a:srgbClr val="9BBB59"/>
      </a:accent2>
      <a:accent3>
        <a:srgbClr val="E36C09"/>
      </a:accent3>
      <a:accent4>
        <a:srgbClr val="8064A2"/>
      </a:accent4>
      <a:accent5>
        <a:srgbClr val="FF0000"/>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
  <sheetViews>
    <sheetView workbookViewId="0">
      <selection activeCell="B16" sqref="B16"/>
    </sheetView>
  </sheetViews>
  <sheetFormatPr defaultRowHeight="14.5" x14ac:dyDescent="0.35"/>
  <cols>
    <col min="1" max="1" width="18" customWidth="1"/>
    <col min="2" max="2" width="95" customWidth="1"/>
    <col min="3" max="6" width="14" customWidth="1"/>
  </cols>
  <sheetData>
    <row r="1" spans="1:6" ht="21" x14ac:dyDescent="0.5">
      <c r="A1" s="13" t="s">
        <v>0</v>
      </c>
      <c r="B1" s="14"/>
      <c r="C1" s="14"/>
      <c r="D1" s="14"/>
      <c r="E1" s="14"/>
      <c r="F1" s="14"/>
    </row>
    <row r="3" spans="1:6" x14ac:dyDescent="0.35">
      <c r="A3" s="1" t="s">
        <v>1</v>
      </c>
      <c r="B3" t="s">
        <v>2</v>
      </c>
    </row>
    <row r="4" spans="1:6" x14ac:dyDescent="0.35">
      <c r="A4" s="1" t="s">
        <v>3</v>
      </c>
      <c r="B4" t="s">
        <v>4</v>
      </c>
    </row>
    <row r="5" spans="1:6" x14ac:dyDescent="0.35">
      <c r="A5" s="1" t="s">
        <v>5</v>
      </c>
      <c r="B5" t="s">
        <v>6</v>
      </c>
    </row>
    <row r="6" spans="1:6" x14ac:dyDescent="0.35">
      <c r="A6" s="1" t="s">
        <v>7</v>
      </c>
      <c r="B6" t="s">
        <v>8</v>
      </c>
    </row>
    <row r="7" spans="1:6" x14ac:dyDescent="0.35">
      <c r="A7" s="1" t="s">
        <v>9</v>
      </c>
      <c r="B7" t="s">
        <v>10</v>
      </c>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21"/>
  <sheetViews>
    <sheetView workbookViewId="0">
      <selection activeCell="I14" sqref="I14"/>
    </sheetView>
  </sheetViews>
  <sheetFormatPr defaultRowHeight="14.5" x14ac:dyDescent="0.35"/>
  <cols>
    <col min="1" max="1" width="12" customWidth="1"/>
    <col min="2" max="2" width="18" customWidth="1"/>
    <col min="3" max="3" width="20" customWidth="1"/>
    <col min="4" max="4" width="15" customWidth="1"/>
    <col min="5" max="5" width="17" customWidth="1"/>
    <col min="6" max="6" width="12" customWidth="1"/>
    <col min="7" max="7" width="22" customWidth="1"/>
  </cols>
  <sheetData>
    <row r="1" spans="1:7" x14ac:dyDescent="0.35">
      <c r="A1" t="s">
        <v>11</v>
      </c>
      <c r="B1" t="s">
        <v>12</v>
      </c>
      <c r="C1" t="s">
        <v>13</v>
      </c>
      <c r="D1" t="s">
        <v>14</v>
      </c>
      <c r="E1" t="s">
        <v>15</v>
      </c>
      <c r="F1" t="s">
        <v>16</v>
      </c>
      <c r="G1" t="s">
        <v>17</v>
      </c>
    </row>
    <row r="2" spans="1:7" x14ac:dyDescent="0.35">
      <c r="A2" t="s">
        <v>18</v>
      </c>
      <c r="B2" t="s">
        <v>19</v>
      </c>
      <c r="C2" t="s">
        <v>20</v>
      </c>
      <c r="D2" t="s">
        <v>21</v>
      </c>
      <c r="E2">
        <v>2026</v>
      </c>
      <c r="F2">
        <v>2.92</v>
      </c>
      <c r="G2" t="s">
        <v>22</v>
      </c>
    </row>
    <row r="3" spans="1:7" x14ac:dyDescent="0.35">
      <c r="A3" t="s">
        <v>23</v>
      </c>
      <c r="B3" t="s">
        <v>24</v>
      </c>
      <c r="C3" t="s">
        <v>25</v>
      </c>
      <c r="D3" t="s">
        <v>21</v>
      </c>
      <c r="E3">
        <v>2026</v>
      </c>
      <c r="F3">
        <v>3.08</v>
      </c>
      <c r="G3" t="s">
        <v>22</v>
      </c>
    </row>
    <row r="4" spans="1:7" x14ac:dyDescent="0.35">
      <c r="A4" t="s">
        <v>26</v>
      </c>
      <c r="B4" t="s">
        <v>27</v>
      </c>
      <c r="C4" t="s">
        <v>25</v>
      </c>
      <c r="D4" t="s">
        <v>28</v>
      </c>
      <c r="E4">
        <v>2026</v>
      </c>
      <c r="F4">
        <v>3.34</v>
      </c>
      <c r="G4" t="s">
        <v>29</v>
      </c>
    </row>
    <row r="5" spans="1:7" x14ac:dyDescent="0.35">
      <c r="A5" t="s">
        <v>30</v>
      </c>
      <c r="B5" t="s">
        <v>31</v>
      </c>
      <c r="C5" t="s">
        <v>25</v>
      </c>
      <c r="D5" t="s">
        <v>21</v>
      </c>
      <c r="E5">
        <v>2026</v>
      </c>
      <c r="F5">
        <v>3.95</v>
      </c>
      <c r="G5" t="s">
        <v>29</v>
      </c>
    </row>
    <row r="6" spans="1:7" x14ac:dyDescent="0.35">
      <c r="A6" t="s">
        <v>32</v>
      </c>
      <c r="B6" t="s">
        <v>33</v>
      </c>
      <c r="C6" t="s">
        <v>34</v>
      </c>
      <c r="D6" t="s">
        <v>28</v>
      </c>
      <c r="E6">
        <v>2026</v>
      </c>
      <c r="F6">
        <v>3.77</v>
      </c>
      <c r="G6" t="s">
        <v>22</v>
      </c>
    </row>
    <row r="7" spans="1:7" x14ac:dyDescent="0.35">
      <c r="A7" t="s">
        <v>35</v>
      </c>
      <c r="B7" t="s">
        <v>36</v>
      </c>
      <c r="C7" t="s">
        <v>37</v>
      </c>
      <c r="D7" t="s">
        <v>21</v>
      </c>
      <c r="E7">
        <v>2026</v>
      </c>
      <c r="F7">
        <v>3.8</v>
      </c>
      <c r="G7" t="s">
        <v>22</v>
      </c>
    </row>
    <row r="8" spans="1:7" x14ac:dyDescent="0.35">
      <c r="A8" t="s">
        <v>38</v>
      </c>
      <c r="B8" t="s">
        <v>39</v>
      </c>
      <c r="C8" t="s">
        <v>34</v>
      </c>
      <c r="D8" t="s">
        <v>21</v>
      </c>
      <c r="E8">
        <v>2027</v>
      </c>
      <c r="F8">
        <v>3.73</v>
      </c>
      <c r="G8" t="s">
        <v>22</v>
      </c>
    </row>
    <row r="9" spans="1:7" x14ac:dyDescent="0.35">
      <c r="A9" t="s">
        <v>40</v>
      </c>
      <c r="B9" t="s">
        <v>41</v>
      </c>
      <c r="C9" t="s">
        <v>42</v>
      </c>
      <c r="D9" t="s">
        <v>28</v>
      </c>
      <c r="E9">
        <v>2027</v>
      </c>
      <c r="F9">
        <v>3</v>
      </c>
      <c r="G9" t="s">
        <v>22</v>
      </c>
    </row>
    <row r="10" spans="1:7" x14ac:dyDescent="0.35">
      <c r="A10" t="s">
        <v>43</v>
      </c>
      <c r="B10" t="s">
        <v>44</v>
      </c>
      <c r="C10" t="s">
        <v>25</v>
      </c>
      <c r="D10" t="s">
        <v>21</v>
      </c>
      <c r="E10">
        <v>2027</v>
      </c>
      <c r="F10">
        <v>3</v>
      </c>
      <c r="G10" t="s">
        <v>22</v>
      </c>
    </row>
    <row r="11" spans="1:7" x14ac:dyDescent="0.35">
      <c r="A11" t="s">
        <v>45</v>
      </c>
      <c r="B11" t="s">
        <v>46</v>
      </c>
      <c r="C11" t="s">
        <v>25</v>
      </c>
      <c r="D11" t="s">
        <v>28</v>
      </c>
      <c r="E11">
        <v>2027</v>
      </c>
      <c r="F11">
        <v>3.07</v>
      </c>
      <c r="G11" t="s">
        <v>29</v>
      </c>
    </row>
    <row r="12" spans="1:7" x14ac:dyDescent="0.35">
      <c r="A12" t="s">
        <v>47</v>
      </c>
      <c r="B12" t="s">
        <v>48</v>
      </c>
      <c r="C12" t="s">
        <v>42</v>
      </c>
      <c r="D12" t="s">
        <v>21</v>
      </c>
      <c r="E12">
        <v>2027</v>
      </c>
      <c r="F12">
        <v>3.85</v>
      </c>
      <c r="G12" t="s">
        <v>29</v>
      </c>
    </row>
    <row r="13" spans="1:7" x14ac:dyDescent="0.35">
      <c r="A13" t="s">
        <v>49</v>
      </c>
      <c r="B13" t="s">
        <v>50</v>
      </c>
      <c r="C13" t="s">
        <v>37</v>
      </c>
      <c r="D13" t="s">
        <v>28</v>
      </c>
      <c r="E13">
        <v>2026</v>
      </c>
      <c r="F13">
        <v>2.97</v>
      </c>
      <c r="G13" t="s">
        <v>22</v>
      </c>
    </row>
    <row r="14" spans="1:7" x14ac:dyDescent="0.35">
      <c r="A14" t="s">
        <v>51</v>
      </c>
      <c r="B14" t="s">
        <v>52</v>
      </c>
      <c r="C14" t="s">
        <v>20</v>
      </c>
      <c r="D14" t="s">
        <v>21</v>
      </c>
      <c r="E14">
        <v>2026</v>
      </c>
      <c r="F14">
        <v>3.23</v>
      </c>
      <c r="G14" t="s">
        <v>22</v>
      </c>
    </row>
    <row r="15" spans="1:7" x14ac:dyDescent="0.35">
      <c r="A15" t="s">
        <v>53</v>
      </c>
      <c r="B15" t="s">
        <v>54</v>
      </c>
      <c r="C15" t="s">
        <v>55</v>
      </c>
      <c r="D15" t="s">
        <v>28</v>
      </c>
      <c r="E15">
        <v>2027</v>
      </c>
      <c r="F15">
        <v>2.98</v>
      </c>
      <c r="G15" t="s">
        <v>29</v>
      </c>
    </row>
    <row r="16" spans="1:7" x14ac:dyDescent="0.35">
      <c r="A16" t="s">
        <v>56</v>
      </c>
      <c r="B16" t="s">
        <v>57</v>
      </c>
      <c r="C16" t="s">
        <v>34</v>
      </c>
      <c r="D16" t="s">
        <v>21</v>
      </c>
      <c r="E16">
        <v>2027</v>
      </c>
      <c r="F16">
        <v>3.43</v>
      </c>
      <c r="G16" t="s">
        <v>22</v>
      </c>
    </row>
    <row r="17" spans="1:7" x14ac:dyDescent="0.35">
      <c r="A17" t="s">
        <v>58</v>
      </c>
      <c r="B17" t="s">
        <v>59</v>
      </c>
      <c r="C17" t="s">
        <v>25</v>
      </c>
      <c r="D17" t="s">
        <v>28</v>
      </c>
      <c r="E17">
        <v>2026</v>
      </c>
      <c r="F17">
        <v>3.57</v>
      </c>
      <c r="G17" t="s">
        <v>29</v>
      </c>
    </row>
    <row r="18" spans="1:7" x14ac:dyDescent="0.35">
      <c r="A18" t="s">
        <v>60</v>
      </c>
      <c r="B18" t="s">
        <v>61</v>
      </c>
      <c r="C18" t="s">
        <v>55</v>
      </c>
      <c r="D18" t="s">
        <v>28</v>
      </c>
      <c r="E18">
        <v>2027</v>
      </c>
      <c r="F18">
        <v>3.12</v>
      </c>
      <c r="G18" t="s">
        <v>22</v>
      </c>
    </row>
    <row r="19" spans="1:7" x14ac:dyDescent="0.35">
      <c r="A19" t="s">
        <v>62</v>
      </c>
      <c r="B19" t="s">
        <v>63</v>
      </c>
      <c r="C19" t="s">
        <v>37</v>
      </c>
      <c r="D19" t="s">
        <v>28</v>
      </c>
      <c r="E19">
        <v>2026</v>
      </c>
      <c r="F19">
        <v>3.57</v>
      </c>
      <c r="G19" t="s">
        <v>22</v>
      </c>
    </row>
    <row r="20" spans="1:7" x14ac:dyDescent="0.35">
      <c r="A20" t="s">
        <v>64</v>
      </c>
      <c r="B20" t="s">
        <v>65</v>
      </c>
      <c r="C20" t="s">
        <v>20</v>
      </c>
      <c r="D20" t="s">
        <v>28</v>
      </c>
      <c r="E20">
        <v>2027</v>
      </c>
      <c r="F20">
        <v>3.44</v>
      </c>
      <c r="G20" t="s">
        <v>29</v>
      </c>
    </row>
    <row r="21" spans="1:7" x14ac:dyDescent="0.35">
      <c r="A21" t="s">
        <v>66</v>
      </c>
      <c r="B21" t="s">
        <v>67</v>
      </c>
      <c r="C21" t="s">
        <v>34</v>
      </c>
      <c r="D21" t="s">
        <v>28</v>
      </c>
      <c r="E21">
        <v>2027</v>
      </c>
      <c r="F21">
        <v>3.8</v>
      </c>
      <c r="G21" t="s">
        <v>29</v>
      </c>
    </row>
    <row r="22" spans="1:7" x14ac:dyDescent="0.35">
      <c r="A22" t="s">
        <v>68</v>
      </c>
      <c r="B22" t="s">
        <v>69</v>
      </c>
      <c r="C22" t="s">
        <v>20</v>
      </c>
      <c r="D22" t="s">
        <v>28</v>
      </c>
      <c r="E22">
        <v>2026</v>
      </c>
      <c r="F22">
        <v>3.38</v>
      </c>
      <c r="G22" t="s">
        <v>29</v>
      </c>
    </row>
    <row r="23" spans="1:7" x14ac:dyDescent="0.35">
      <c r="A23" t="s">
        <v>70</v>
      </c>
      <c r="B23" t="s">
        <v>71</v>
      </c>
      <c r="C23" t="s">
        <v>34</v>
      </c>
      <c r="D23" t="s">
        <v>28</v>
      </c>
      <c r="E23">
        <v>2026</v>
      </c>
      <c r="F23">
        <v>3.12</v>
      </c>
      <c r="G23" t="s">
        <v>22</v>
      </c>
    </row>
    <row r="24" spans="1:7" x14ac:dyDescent="0.35">
      <c r="A24" t="s">
        <v>72</v>
      </c>
      <c r="B24" t="s">
        <v>73</v>
      </c>
      <c r="C24" t="s">
        <v>37</v>
      </c>
      <c r="D24" t="s">
        <v>28</v>
      </c>
      <c r="E24">
        <v>2027</v>
      </c>
      <c r="F24">
        <v>3.66</v>
      </c>
      <c r="G24" t="s">
        <v>22</v>
      </c>
    </row>
    <row r="25" spans="1:7" x14ac:dyDescent="0.35">
      <c r="A25" t="s">
        <v>74</v>
      </c>
      <c r="B25" t="s">
        <v>75</v>
      </c>
      <c r="C25" t="s">
        <v>37</v>
      </c>
      <c r="D25" t="s">
        <v>28</v>
      </c>
      <c r="E25">
        <v>2026</v>
      </c>
      <c r="F25">
        <v>2.88</v>
      </c>
      <c r="G25" t="s">
        <v>29</v>
      </c>
    </row>
    <row r="26" spans="1:7" x14ac:dyDescent="0.35">
      <c r="A26" t="s">
        <v>76</v>
      </c>
      <c r="B26" t="s">
        <v>46</v>
      </c>
      <c r="C26" t="s">
        <v>25</v>
      </c>
      <c r="D26" t="s">
        <v>21</v>
      </c>
      <c r="E26">
        <v>2027</v>
      </c>
      <c r="F26">
        <v>2.87</v>
      </c>
      <c r="G26" t="s">
        <v>29</v>
      </c>
    </row>
    <row r="27" spans="1:7" x14ac:dyDescent="0.35">
      <c r="A27" t="s">
        <v>77</v>
      </c>
      <c r="B27" t="s">
        <v>78</v>
      </c>
      <c r="C27" t="s">
        <v>34</v>
      </c>
      <c r="D27" t="s">
        <v>21</v>
      </c>
      <c r="E27">
        <v>2027</v>
      </c>
      <c r="F27">
        <v>3.06</v>
      </c>
      <c r="G27" t="s">
        <v>29</v>
      </c>
    </row>
    <row r="28" spans="1:7" x14ac:dyDescent="0.35">
      <c r="A28" t="s">
        <v>79</v>
      </c>
      <c r="B28" t="s">
        <v>80</v>
      </c>
      <c r="C28" t="s">
        <v>55</v>
      </c>
      <c r="D28" t="s">
        <v>28</v>
      </c>
      <c r="E28">
        <v>2027</v>
      </c>
      <c r="F28">
        <v>3.03</v>
      </c>
      <c r="G28" t="s">
        <v>29</v>
      </c>
    </row>
    <row r="29" spans="1:7" x14ac:dyDescent="0.35">
      <c r="A29" t="s">
        <v>81</v>
      </c>
      <c r="B29" t="s">
        <v>82</v>
      </c>
      <c r="C29" t="s">
        <v>55</v>
      </c>
      <c r="D29" t="s">
        <v>28</v>
      </c>
      <c r="E29">
        <v>2027</v>
      </c>
      <c r="F29">
        <v>3.61</v>
      </c>
      <c r="G29" t="s">
        <v>22</v>
      </c>
    </row>
    <row r="30" spans="1:7" x14ac:dyDescent="0.35">
      <c r="A30" t="s">
        <v>83</v>
      </c>
      <c r="B30" t="s">
        <v>84</v>
      </c>
      <c r="C30" t="s">
        <v>42</v>
      </c>
      <c r="D30" t="s">
        <v>21</v>
      </c>
      <c r="E30">
        <v>2027</v>
      </c>
      <c r="F30">
        <v>3.1</v>
      </c>
      <c r="G30" t="s">
        <v>29</v>
      </c>
    </row>
    <row r="31" spans="1:7" x14ac:dyDescent="0.35">
      <c r="A31" t="s">
        <v>85</v>
      </c>
      <c r="B31" t="s">
        <v>86</v>
      </c>
      <c r="C31" t="s">
        <v>55</v>
      </c>
      <c r="D31" t="s">
        <v>21</v>
      </c>
      <c r="E31">
        <v>2026</v>
      </c>
      <c r="F31">
        <v>3.91</v>
      </c>
      <c r="G31" t="s">
        <v>22</v>
      </c>
    </row>
    <row r="32" spans="1:7" x14ac:dyDescent="0.35">
      <c r="A32" t="s">
        <v>87</v>
      </c>
      <c r="B32" t="s">
        <v>36</v>
      </c>
      <c r="C32" t="s">
        <v>34</v>
      </c>
      <c r="D32" t="s">
        <v>28</v>
      </c>
      <c r="E32">
        <v>2027</v>
      </c>
      <c r="F32">
        <v>3.96</v>
      </c>
      <c r="G32" t="s">
        <v>22</v>
      </c>
    </row>
    <row r="33" spans="1:7" x14ac:dyDescent="0.35">
      <c r="A33" t="s">
        <v>88</v>
      </c>
      <c r="B33" t="s">
        <v>89</v>
      </c>
      <c r="C33" t="s">
        <v>42</v>
      </c>
      <c r="D33" t="s">
        <v>28</v>
      </c>
      <c r="E33">
        <v>2027</v>
      </c>
      <c r="F33">
        <v>3.88</v>
      </c>
      <c r="G33" t="s">
        <v>29</v>
      </c>
    </row>
    <row r="34" spans="1:7" x14ac:dyDescent="0.35">
      <c r="A34" t="s">
        <v>90</v>
      </c>
      <c r="B34" t="s">
        <v>91</v>
      </c>
      <c r="C34" t="s">
        <v>42</v>
      </c>
      <c r="D34" t="s">
        <v>28</v>
      </c>
      <c r="E34">
        <v>2026</v>
      </c>
      <c r="F34">
        <v>3.31</v>
      </c>
      <c r="G34" t="s">
        <v>22</v>
      </c>
    </row>
    <row r="35" spans="1:7" x14ac:dyDescent="0.35">
      <c r="A35" t="s">
        <v>92</v>
      </c>
      <c r="B35" t="s">
        <v>93</v>
      </c>
      <c r="C35" t="s">
        <v>34</v>
      </c>
      <c r="D35" t="s">
        <v>21</v>
      </c>
      <c r="E35">
        <v>2027</v>
      </c>
      <c r="F35">
        <v>3.5</v>
      </c>
      <c r="G35" t="s">
        <v>22</v>
      </c>
    </row>
    <row r="36" spans="1:7" x14ac:dyDescent="0.35">
      <c r="A36" t="s">
        <v>94</v>
      </c>
      <c r="B36" t="s">
        <v>95</v>
      </c>
      <c r="C36" t="s">
        <v>34</v>
      </c>
      <c r="D36" t="s">
        <v>28</v>
      </c>
      <c r="E36">
        <v>2027</v>
      </c>
      <c r="F36">
        <v>3.44</v>
      </c>
      <c r="G36" t="s">
        <v>29</v>
      </c>
    </row>
    <row r="37" spans="1:7" x14ac:dyDescent="0.35">
      <c r="A37" t="s">
        <v>96</v>
      </c>
      <c r="B37" t="s">
        <v>97</v>
      </c>
      <c r="C37" t="s">
        <v>20</v>
      </c>
      <c r="D37" t="s">
        <v>21</v>
      </c>
      <c r="E37">
        <v>2026</v>
      </c>
      <c r="F37">
        <v>3.83</v>
      </c>
      <c r="G37" t="s">
        <v>22</v>
      </c>
    </row>
    <row r="38" spans="1:7" x14ac:dyDescent="0.35">
      <c r="A38" t="s">
        <v>98</v>
      </c>
      <c r="B38" t="s">
        <v>99</v>
      </c>
      <c r="C38" t="s">
        <v>25</v>
      </c>
      <c r="D38" t="s">
        <v>21</v>
      </c>
      <c r="E38">
        <v>2026</v>
      </c>
      <c r="F38">
        <v>3.59</v>
      </c>
      <c r="G38" t="s">
        <v>22</v>
      </c>
    </row>
    <row r="39" spans="1:7" x14ac:dyDescent="0.35">
      <c r="A39" t="s">
        <v>100</v>
      </c>
      <c r="B39" t="s">
        <v>101</v>
      </c>
      <c r="C39" t="s">
        <v>34</v>
      </c>
      <c r="D39" t="s">
        <v>28</v>
      </c>
      <c r="E39">
        <v>2026</v>
      </c>
      <c r="F39">
        <v>3.27</v>
      </c>
      <c r="G39" t="s">
        <v>22</v>
      </c>
    </row>
    <row r="40" spans="1:7" x14ac:dyDescent="0.35">
      <c r="A40" t="s">
        <v>102</v>
      </c>
      <c r="B40" t="s">
        <v>103</v>
      </c>
      <c r="C40" t="s">
        <v>42</v>
      </c>
      <c r="D40" t="s">
        <v>28</v>
      </c>
      <c r="E40">
        <v>2026</v>
      </c>
      <c r="F40">
        <v>3.35</v>
      </c>
      <c r="G40" t="s">
        <v>22</v>
      </c>
    </row>
    <row r="41" spans="1:7" x14ac:dyDescent="0.35">
      <c r="A41" t="s">
        <v>104</v>
      </c>
      <c r="B41" t="s">
        <v>105</v>
      </c>
      <c r="C41" t="s">
        <v>55</v>
      </c>
      <c r="D41" t="s">
        <v>28</v>
      </c>
      <c r="E41">
        <v>2026</v>
      </c>
      <c r="F41">
        <v>3.22</v>
      </c>
      <c r="G41" t="s">
        <v>29</v>
      </c>
    </row>
    <row r="42" spans="1:7" x14ac:dyDescent="0.35">
      <c r="A42" t="s">
        <v>106</v>
      </c>
      <c r="B42" t="s">
        <v>107</v>
      </c>
      <c r="C42" t="s">
        <v>42</v>
      </c>
      <c r="D42" t="s">
        <v>21</v>
      </c>
      <c r="E42">
        <v>2026</v>
      </c>
      <c r="F42">
        <v>3.16</v>
      </c>
      <c r="G42" t="s">
        <v>22</v>
      </c>
    </row>
    <row r="43" spans="1:7" x14ac:dyDescent="0.35">
      <c r="A43" t="s">
        <v>108</v>
      </c>
      <c r="B43" t="s">
        <v>109</v>
      </c>
      <c r="C43" t="s">
        <v>25</v>
      </c>
      <c r="D43" t="s">
        <v>28</v>
      </c>
      <c r="E43">
        <v>2027</v>
      </c>
      <c r="F43">
        <v>2.92</v>
      </c>
      <c r="G43" t="s">
        <v>22</v>
      </c>
    </row>
    <row r="44" spans="1:7" x14ac:dyDescent="0.35">
      <c r="A44" t="s">
        <v>110</v>
      </c>
      <c r="B44" t="s">
        <v>111</v>
      </c>
      <c r="C44" t="s">
        <v>37</v>
      </c>
      <c r="D44" t="s">
        <v>28</v>
      </c>
      <c r="E44">
        <v>2026</v>
      </c>
      <c r="F44">
        <v>3.14</v>
      </c>
      <c r="G44" t="s">
        <v>29</v>
      </c>
    </row>
    <row r="45" spans="1:7" x14ac:dyDescent="0.35">
      <c r="A45" t="s">
        <v>112</v>
      </c>
      <c r="B45" t="s">
        <v>113</v>
      </c>
      <c r="C45" t="s">
        <v>25</v>
      </c>
      <c r="D45" t="s">
        <v>28</v>
      </c>
      <c r="E45">
        <v>2026</v>
      </c>
      <c r="F45">
        <v>3.1</v>
      </c>
      <c r="G45" t="s">
        <v>22</v>
      </c>
    </row>
    <row r="46" spans="1:7" x14ac:dyDescent="0.35">
      <c r="A46" t="s">
        <v>114</v>
      </c>
      <c r="B46" t="s">
        <v>115</v>
      </c>
      <c r="C46" t="s">
        <v>25</v>
      </c>
      <c r="D46" t="s">
        <v>28</v>
      </c>
      <c r="E46">
        <v>2026</v>
      </c>
      <c r="F46">
        <v>3.2</v>
      </c>
      <c r="G46" t="s">
        <v>29</v>
      </c>
    </row>
    <row r="47" spans="1:7" x14ac:dyDescent="0.35">
      <c r="A47" t="s">
        <v>116</v>
      </c>
      <c r="B47" t="s">
        <v>117</v>
      </c>
      <c r="C47" t="s">
        <v>20</v>
      </c>
      <c r="D47" t="s">
        <v>28</v>
      </c>
      <c r="E47">
        <v>2026</v>
      </c>
      <c r="F47">
        <v>2.81</v>
      </c>
      <c r="G47" t="s">
        <v>29</v>
      </c>
    </row>
    <row r="48" spans="1:7" x14ac:dyDescent="0.35">
      <c r="A48" t="s">
        <v>118</v>
      </c>
      <c r="B48" t="s">
        <v>119</v>
      </c>
      <c r="C48" t="s">
        <v>34</v>
      </c>
      <c r="D48" t="s">
        <v>21</v>
      </c>
      <c r="E48">
        <v>2026</v>
      </c>
      <c r="F48">
        <v>3.32</v>
      </c>
      <c r="G48" t="s">
        <v>29</v>
      </c>
    </row>
    <row r="49" spans="1:7" x14ac:dyDescent="0.35">
      <c r="A49" t="s">
        <v>120</v>
      </c>
      <c r="B49" t="s">
        <v>121</v>
      </c>
      <c r="C49" t="s">
        <v>37</v>
      </c>
      <c r="D49" t="s">
        <v>21</v>
      </c>
      <c r="E49">
        <v>2026</v>
      </c>
      <c r="F49">
        <v>2.92</v>
      </c>
      <c r="G49" t="s">
        <v>22</v>
      </c>
    </row>
    <row r="50" spans="1:7" x14ac:dyDescent="0.35">
      <c r="A50" t="s">
        <v>122</v>
      </c>
      <c r="B50" t="s">
        <v>57</v>
      </c>
      <c r="C50" t="s">
        <v>20</v>
      </c>
      <c r="D50" t="s">
        <v>28</v>
      </c>
      <c r="E50">
        <v>2026</v>
      </c>
      <c r="F50">
        <v>3</v>
      </c>
      <c r="G50" t="s">
        <v>22</v>
      </c>
    </row>
    <row r="51" spans="1:7" x14ac:dyDescent="0.35">
      <c r="A51" t="s">
        <v>123</v>
      </c>
      <c r="B51" t="s">
        <v>124</v>
      </c>
      <c r="C51" t="s">
        <v>34</v>
      </c>
      <c r="D51" t="s">
        <v>28</v>
      </c>
      <c r="E51">
        <v>2026</v>
      </c>
      <c r="F51">
        <v>3.92</v>
      </c>
      <c r="G51" t="s">
        <v>22</v>
      </c>
    </row>
    <row r="52" spans="1:7" x14ac:dyDescent="0.35">
      <c r="A52" t="s">
        <v>125</v>
      </c>
      <c r="B52" t="s">
        <v>126</v>
      </c>
      <c r="C52" t="s">
        <v>34</v>
      </c>
      <c r="D52" t="s">
        <v>28</v>
      </c>
      <c r="E52">
        <v>2026</v>
      </c>
      <c r="F52">
        <v>2.85</v>
      </c>
      <c r="G52" t="s">
        <v>22</v>
      </c>
    </row>
    <row r="53" spans="1:7" x14ac:dyDescent="0.35">
      <c r="A53" t="s">
        <v>127</v>
      </c>
      <c r="B53" t="s">
        <v>128</v>
      </c>
      <c r="C53" t="s">
        <v>42</v>
      </c>
      <c r="D53" t="s">
        <v>28</v>
      </c>
      <c r="E53">
        <v>2027</v>
      </c>
      <c r="F53">
        <v>3.07</v>
      </c>
      <c r="G53" t="s">
        <v>22</v>
      </c>
    </row>
    <row r="54" spans="1:7" x14ac:dyDescent="0.35">
      <c r="A54" t="s">
        <v>129</v>
      </c>
      <c r="B54" t="s">
        <v>130</v>
      </c>
      <c r="C54" t="s">
        <v>42</v>
      </c>
      <c r="D54" t="s">
        <v>21</v>
      </c>
      <c r="E54">
        <v>2027</v>
      </c>
      <c r="F54">
        <v>3.22</v>
      </c>
      <c r="G54" t="s">
        <v>22</v>
      </c>
    </row>
    <row r="55" spans="1:7" x14ac:dyDescent="0.35">
      <c r="A55" t="s">
        <v>131</v>
      </c>
      <c r="B55" t="s">
        <v>132</v>
      </c>
      <c r="C55" t="s">
        <v>37</v>
      </c>
      <c r="D55" t="s">
        <v>21</v>
      </c>
      <c r="E55">
        <v>2027</v>
      </c>
      <c r="F55">
        <v>3.01</v>
      </c>
      <c r="G55" t="s">
        <v>22</v>
      </c>
    </row>
    <row r="56" spans="1:7" x14ac:dyDescent="0.35">
      <c r="A56" t="s">
        <v>133</v>
      </c>
      <c r="B56" t="s">
        <v>134</v>
      </c>
      <c r="C56" t="s">
        <v>34</v>
      </c>
      <c r="D56" t="s">
        <v>21</v>
      </c>
      <c r="E56">
        <v>2027</v>
      </c>
      <c r="F56">
        <v>3.18</v>
      </c>
      <c r="G56" t="s">
        <v>22</v>
      </c>
    </row>
    <row r="57" spans="1:7" x14ac:dyDescent="0.35">
      <c r="A57" t="s">
        <v>135</v>
      </c>
      <c r="B57" t="s">
        <v>136</v>
      </c>
      <c r="C57" t="s">
        <v>42</v>
      </c>
      <c r="D57" t="s">
        <v>28</v>
      </c>
      <c r="E57">
        <v>2026</v>
      </c>
      <c r="F57">
        <v>3.65</v>
      </c>
      <c r="G57" t="s">
        <v>29</v>
      </c>
    </row>
    <row r="58" spans="1:7" x14ac:dyDescent="0.35">
      <c r="A58" t="s">
        <v>137</v>
      </c>
      <c r="B58" t="s">
        <v>27</v>
      </c>
      <c r="C58" t="s">
        <v>42</v>
      </c>
      <c r="D58" t="s">
        <v>21</v>
      </c>
      <c r="E58">
        <v>2027</v>
      </c>
      <c r="F58">
        <v>3.2</v>
      </c>
      <c r="G58" t="s">
        <v>29</v>
      </c>
    </row>
    <row r="59" spans="1:7" x14ac:dyDescent="0.35">
      <c r="A59" t="s">
        <v>138</v>
      </c>
      <c r="B59" t="s">
        <v>139</v>
      </c>
      <c r="C59" t="s">
        <v>55</v>
      </c>
      <c r="D59" t="s">
        <v>28</v>
      </c>
      <c r="E59">
        <v>2026</v>
      </c>
      <c r="F59">
        <v>3.64</v>
      </c>
      <c r="G59" t="s">
        <v>22</v>
      </c>
    </row>
    <row r="60" spans="1:7" x14ac:dyDescent="0.35">
      <c r="A60" t="s">
        <v>140</v>
      </c>
      <c r="B60" t="s">
        <v>141</v>
      </c>
      <c r="C60" t="s">
        <v>25</v>
      </c>
      <c r="D60" t="s">
        <v>21</v>
      </c>
      <c r="E60">
        <v>2027</v>
      </c>
      <c r="F60">
        <v>3.01</v>
      </c>
      <c r="G60" t="s">
        <v>22</v>
      </c>
    </row>
    <row r="61" spans="1:7" x14ac:dyDescent="0.35">
      <c r="A61" t="s">
        <v>142</v>
      </c>
      <c r="B61" t="s">
        <v>143</v>
      </c>
      <c r="C61" t="s">
        <v>20</v>
      </c>
      <c r="D61" t="s">
        <v>21</v>
      </c>
      <c r="E61">
        <v>2026</v>
      </c>
      <c r="F61">
        <v>3.74</v>
      </c>
      <c r="G61" t="s">
        <v>22</v>
      </c>
    </row>
    <row r="62" spans="1:7" x14ac:dyDescent="0.35">
      <c r="A62" t="s">
        <v>144</v>
      </c>
      <c r="B62" t="s">
        <v>145</v>
      </c>
      <c r="C62" t="s">
        <v>55</v>
      </c>
      <c r="D62" t="s">
        <v>28</v>
      </c>
      <c r="E62">
        <v>2026</v>
      </c>
      <c r="F62">
        <v>3.75</v>
      </c>
      <c r="G62" t="s">
        <v>22</v>
      </c>
    </row>
    <row r="63" spans="1:7" x14ac:dyDescent="0.35">
      <c r="A63" t="s">
        <v>146</v>
      </c>
      <c r="B63" t="s">
        <v>147</v>
      </c>
      <c r="C63" t="s">
        <v>42</v>
      </c>
      <c r="D63" t="s">
        <v>28</v>
      </c>
      <c r="E63">
        <v>2026</v>
      </c>
      <c r="F63">
        <v>2.91</v>
      </c>
      <c r="G63" t="s">
        <v>22</v>
      </c>
    </row>
    <row r="64" spans="1:7" x14ac:dyDescent="0.35">
      <c r="A64" t="s">
        <v>148</v>
      </c>
      <c r="B64" t="s">
        <v>149</v>
      </c>
      <c r="C64" t="s">
        <v>42</v>
      </c>
      <c r="D64" t="s">
        <v>21</v>
      </c>
      <c r="E64">
        <v>2026</v>
      </c>
      <c r="F64">
        <v>3.09</v>
      </c>
      <c r="G64" t="s">
        <v>22</v>
      </c>
    </row>
    <row r="65" spans="1:7" x14ac:dyDescent="0.35">
      <c r="A65" t="s">
        <v>150</v>
      </c>
      <c r="B65" t="s">
        <v>151</v>
      </c>
      <c r="C65" t="s">
        <v>42</v>
      </c>
      <c r="D65" t="s">
        <v>28</v>
      </c>
      <c r="E65">
        <v>2026</v>
      </c>
      <c r="F65">
        <v>3.64</v>
      </c>
      <c r="G65" t="s">
        <v>22</v>
      </c>
    </row>
    <row r="66" spans="1:7" x14ac:dyDescent="0.35">
      <c r="A66" t="s">
        <v>152</v>
      </c>
      <c r="B66" t="s">
        <v>153</v>
      </c>
      <c r="C66" t="s">
        <v>25</v>
      </c>
      <c r="D66" t="s">
        <v>21</v>
      </c>
      <c r="E66">
        <v>2027</v>
      </c>
      <c r="F66">
        <v>3.72</v>
      </c>
      <c r="G66" t="s">
        <v>29</v>
      </c>
    </row>
    <row r="67" spans="1:7" x14ac:dyDescent="0.35">
      <c r="A67" t="s">
        <v>154</v>
      </c>
      <c r="B67" t="s">
        <v>155</v>
      </c>
      <c r="C67" t="s">
        <v>34</v>
      </c>
      <c r="D67" t="s">
        <v>28</v>
      </c>
      <c r="E67">
        <v>2026</v>
      </c>
      <c r="F67">
        <v>2.86</v>
      </c>
      <c r="G67" t="s">
        <v>29</v>
      </c>
    </row>
    <row r="68" spans="1:7" x14ac:dyDescent="0.35">
      <c r="A68" t="s">
        <v>156</v>
      </c>
      <c r="B68" t="s">
        <v>157</v>
      </c>
      <c r="C68" t="s">
        <v>34</v>
      </c>
      <c r="D68" t="s">
        <v>28</v>
      </c>
      <c r="E68">
        <v>2026</v>
      </c>
      <c r="F68">
        <v>3.47</v>
      </c>
      <c r="G68" t="s">
        <v>29</v>
      </c>
    </row>
    <row r="69" spans="1:7" x14ac:dyDescent="0.35">
      <c r="A69" t="s">
        <v>158</v>
      </c>
      <c r="B69" t="s">
        <v>159</v>
      </c>
      <c r="C69" t="s">
        <v>20</v>
      </c>
      <c r="D69" t="s">
        <v>28</v>
      </c>
      <c r="E69">
        <v>2026</v>
      </c>
      <c r="F69">
        <v>3.89</v>
      </c>
      <c r="G69" t="s">
        <v>22</v>
      </c>
    </row>
    <row r="70" spans="1:7" x14ac:dyDescent="0.35">
      <c r="A70" t="s">
        <v>160</v>
      </c>
      <c r="B70" t="s">
        <v>161</v>
      </c>
      <c r="C70" t="s">
        <v>55</v>
      </c>
      <c r="D70" t="s">
        <v>28</v>
      </c>
      <c r="E70">
        <v>2027</v>
      </c>
      <c r="F70">
        <v>3.13</v>
      </c>
      <c r="G70" t="s">
        <v>22</v>
      </c>
    </row>
    <row r="71" spans="1:7" x14ac:dyDescent="0.35">
      <c r="A71" t="s">
        <v>162</v>
      </c>
      <c r="B71" t="s">
        <v>163</v>
      </c>
      <c r="C71" t="s">
        <v>42</v>
      </c>
      <c r="D71" t="s">
        <v>21</v>
      </c>
      <c r="E71">
        <v>2026</v>
      </c>
      <c r="F71">
        <v>3.13</v>
      </c>
      <c r="G71" t="s">
        <v>29</v>
      </c>
    </row>
    <row r="72" spans="1:7" x14ac:dyDescent="0.35">
      <c r="A72" t="s">
        <v>164</v>
      </c>
      <c r="B72" t="s">
        <v>24</v>
      </c>
      <c r="C72" t="s">
        <v>34</v>
      </c>
      <c r="D72" t="s">
        <v>21</v>
      </c>
      <c r="E72">
        <v>2027</v>
      </c>
      <c r="F72">
        <v>3.65</v>
      </c>
      <c r="G72" t="s">
        <v>29</v>
      </c>
    </row>
    <row r="73" spans="1:7" x14ac:dyDescent="0.35">
      <c r="A73" t="s">
        <v>165</v>
      </c>
      <c r="B73" t="s">
        <v>166</v>
      </c>
      <c r="C73" t="s">
        <v>25</v>
      </c>
      <c r="D73" t="s">
        <v>21</v>
      </c>
      <c r="E73">
        <v>2026</v>
      </c>
      <c r="F73">
        <v>3.3</v>
      </c>
      <c r="G73" t="s">
        <v>22</v>
      </c>
    </row>
    <row r="74" spans="1:7" x14ac:dyDescent="0.35">
      <c r="A74" t="s">
        <v>167</v>
      </c>
      <c r="B74" t="s">
        <v>168</v>
      </c>
      <c r="C74" t="s">
        <v>20</v>
      </c>
      <c r="D74" t="s">
        <v>28</v>
      </c>
      <c r="E74">
        <v>2026</v>
      </c>
      <c r="F74">
        <v>2.81</v>
      </c>
      <c r="G74" t="s">
        <v>22</v>
      </c>
    </row>
    <row r="75" spans="1:7" x14ac:dyDescent="0.35">
      <c r="A75" t="s">
        <v>169</v>
      </c>
      <c r="B75" t="s">
        <v>170</v>
      </c>
      <c r="C75" t="s">
        <v>55</v>
      </c>
      <c r="D75" t="s">
        <v>28</v>
      </c>
      <c r="E75">
        <v>2027</v>
      </c>
      <c r="F75">
        <v>3.88</v>
      </c>
      <c r="G75" t="s">
        <v>22</v>
      </c>
    </row>
    <row r="76" spans="1:7" x14ac:dyDescent="0.35">
      <c r="A76" t="s">
        <v>171</v>
      </c>
      <c r="B76" t="s">
        <v>172</v>
      </c>
      <c r="C76" t="s">
        <v>55</v>
      </c>
      <c r="D76" t="s">
        <v>21</v>
      </c>
      <c r="E76">
        <v>2027</v>
      </c>
      <c r="F76">
        <v>3.76</v>
      </c>
      <c r="G76" t="s">
        <v>22</v>
      </c>
    </row>
    <row r="77" spans="1:7" x14ac:dyDescent="0.35">
      <c r="A77" t="s">
        <v>173</v>
      </c>
      <c r="B77" t="s">
        <v>86</v>
      </c>
      <c r="C77" t="s">
        <v>37</v>
      </c>
      <c r="D77" t="s">
        <v>28</v>
      </c>
      <c r="E77">
        <v>2027</v>
      </c>
      <c r="F77">
        <v>3.51</v>
      </c>
      <c r="G77" t="s">
        <v>22</v>
      </c>
    </row>
    <row r="78" spans="1:7" x14ac:dyDescent="0.35">
      <c r="A78" t="s">
        <v>174</v>
      </c>
      <c r="B78" t="s">
        <v>175</v>
      </c>
      <c r="C78" t="s">
        <v>34</v>
      </c>
      <c r="D78" t="s">
        <v>28</v>
      </c>
      <c r="E78">
        <v>2026</v>
      </c>
      <c r="F78">
        <v>3.25</v>
      </c>
      <c r="G78" t="s">
        <v>29</v>
      </c>
    </row>
    <row r="79" spans="1:7" x14ac:dyDescent="0.35">
      <c r="A79" t="s">
        <v>176</v>
      </c>
      <c r="B79" t="s">
        <v>177</v>
      </c>
      <c r="C79" t="s">
        <v>20</v>
      </c>
      <c r="D79" t="s">
        <v>21</v>
      </c>
      <c r="E79">
        <v>2027</v>
      </c>
      <c r="F79">
        <v>3.8</v>
      </c>
      <c r="G79" t="s">
        <v>29</v>
      </c>
    </row>
    <row r="80" spans="1:7" x14ac:dyDescent="0.35">
      <c r="A80" t="s">
        <v>178</v>
      </c>
      <c r="B80" t="s">
        <v>179</v>
      </c>
      <c r="C80" t="s">
        <v>34</v>
      </c>
      <c r="D80" t="s">
        <v>28</v>
      </c>
      <c r="E80">
        <v>2027</v>
      </c>
      <c r="F80">
        <v>3.22</v>
      </c>
      <c r="G80" t="s">
        <v>22</v>
      </c>
    </row>
    <row r="81" spans="1:7" x14ac:dyDescent="0.35">
      <c r="A81" t="s">
        <v>180</v>
      </c>
      <c r="B81" t="s">
        <v>181</v>
      </c>
      <c r="C81" t="s">
        <v>37</v>
      </c>
      <c r="D81" t="s">
        <v>21</v>
      </c>
      <c r="E81">
        <v>2026</v>
      </c>
      <c r="F81">
        <v>2.98</v>
      </c>
      <c r="G81" t="s">
        <v>29</v>
      </c>
    </row>
    <row r="82" spans="1:7" x14ac:dyDescent="0.35">
      <c r="A82" t="s">
        <v>182</v>
      </c>
      <c r="B82" t="s">
        <v>183</v>
      </c>
      <c r="C82" t="s">
        <v>37</v>
      </c>
      <c r="D82" t="s">
        <v>28</v>
      </c>
      <c r="E82">
        <v>2026</v>
      </c>
      <c r="F82">
        <v>3.24</v>
      </c>
      <c r="G82" t="s">
        <v>22</v>
      </c>
    </row>
    <row r="83" spans="1:7" x14ac:dyDescent="0.35">
      <c r="A83" t="s">
        <v>184</v>
      </c>
      <c r="B83" t="s">
        <v>185</v>
      </c>
      <c r="C83" t="s">
        <v>37</v>
      </c>
      <c r="D83" t="s">
        <v>21</v>
      </c>
      <c r="E83">
        <v>2026</v>
      </c>
      <c r="F83">
        <v>3.17</v>
      </c>
      <c r="G83" t="s">
        <v>22</v>
      </c>
    </row>
    <row r="84" spans="1:7" x14ac:dyDescent="0.35">
      <c r="A84" t="s">
        <v>186</v>
      </c>
      <c r="B84" t="s">
        <v>187</v>
      </c>
      <c r="C84" t="s">
        <v>37</v>
      </c>
      <c r="D84" t="s">
        <v>21</v>
      </c>
      <c r="E84">
        <v>2026</v>
      </c>
      <c r="F84">
        <v>3.8</v>
      </c>
      <c r="G84" t="s">
        <v>29</v>
      </c>
    </row>
    <row r="85" spans="1:7" x14ac:dyDescent="0.35">
      <c r="A85" t="s">
        <v>188</v>
      </c>
      <c r="B85" t="s">
        <v>189</v>
      </c>
      <c r="C85" t="s">
        <v>20</v>
      </c>
      <c r="D85" t="s">
        <v>28</v>
      </c>
      <c r="E85">
        <v>2026</v>
      </c>
      <c r="F85">
        <v>2.85</v>
      </c>
      <c r="G85" t="s">
        <v>22</v>
      </c>
    </row>
    <row r="86" spans="1:7" x14ac:dyDescent="0.35">
      <c r="A86" t="s">
        <v>190</v>
      </c>
      <c r="B86" t="s">
        <v>191</v>
      </c>
      <c r="C86" t="s">
        <v>55</v>
      </c>
      <c r="D86" t="s">
        <v>21</v>
      </c>
      <c r="E86">
        <v>2027</v>
      </c>
      <c r="F86">
        <v>3.79</v>
      </c>
      <c r="G86" t="s">
        <v>29</v>
      </c>
    </row>
    <row r="87" spans="1:7" x14ac:dyDescent="0.35">
      <c r="A87" t="s">
        <v>192</v>
      </c>
      <c r="B87" t="s">
        <v>75</v>
      </c>
      <c r="C87" t="s">
        <v>25</v>
      </c>
      <c r="D87" t="s">
        <v>21</v>
      </c>
      <c r="E87">
        <v>2027</v>
      </c>
      <c r="F87">
        <v>3.96</v>
      </c>
      <c r="G87" t="s">
        <v>29</v>
      </c>
    </row>
    <row r="88" spans="1:7" x14ac:dyDescent="0.35">
      <c r="A88" t="s">
        <v>193</v>
      </c>
      <c r="B88" t="s">
        <v>93</v>
      </c>
      <c r="C88" t="s">
        <v>55</v>
      </c>
      <c r="D88" t="s">
        <v>28</v>
      </c>
      <c r="E88">
        <v>2026</v>
      </c>
      <c r="F88">
        <v>3.19</v>
      </c>
      <c r="G88" t="s">
        <v>29</v>
      </c>
    </row>
    <row r="89" spans="1:7" x14ac:dyDescent="0.35">
      <c r="A89" t="s">
        <v>194</v>
      </c>
      <c r="B89" t="s">
        <v>195</v>
      </c>
      <c r="C89" t="s">
        <v>37</v>
      </c>
      <c r="D89" t="s">
        <v>21</v>
      </c>
      <c r="E89">
        <v>2026</v>
      </c>
      <c r="F89">
        <v>3.53</v>
      </c>
      <c r="G89" t="s">
        <v>22</v>
      </c>
    </row>
    <row r="90" spans="1:7" x14ac:dyDescent="0.35">
      <c r="A90" t="s">
        <v>196</v>
      </c>
      <c r="B90" t="s">
        <v>197</v>
      </c>
      <c r="C90" t="s">
        <v>20</v>
      </c>
      <c r="D90" t="s">
        <v>21</v>
      </c>
      <c r="E90">
        <v>2026</v>
      </c>
      <c r="F90">
        <v>3.76</v>
      </c>
      <c r="G90" t="s">
        <v>29</v>
      </c>
    </row>
    <row r="91" spans="1:7" x14ac:dyDescent="0.35">
      <c r="A91" t="s">
        <v>198</v>
      </c>
      <c r="B91" t="s">
        <v>199</v>
      </c>
      <c r="C91" t="s">
        <v>25</v>
      </c>
      <c r="D91" t="s">
        <v>28</v>
      </c>
      <c r="E91">
        <v>2026</v>
      </c>
      <c r="F91">
        <v>3.09</v>
      </c>
      <c r="G91" t="s">
        <v>22</v>
      </c>
    </row>
    <row r="92" spans="1:7" x14ac:dyDescent="0.35">
      <c r="A92" t="s">
        <v>200</v>
      </c>
      <c r="B92" t="s">
        <v>46</v>
      </c>
      <c r="C92" t="s">
        <v>25</v>
      </c>
      <c r="D92" t="s">
        <v>28</v>
      </c>
      <c r="E92">
        <v>2026</v>
      </c>
      <c r="F92">
        <v>3.75</v>
      </c>
      <c r="G92" t="s">
        <v>29</v>
      </c>
    </row>
    <row r="93" spans="1:7" x14ac:dyDescent="0.35">
      <c r="A93" t="s">
        <v>201</v>
      </c>
      <c r="B93" t="s">
        <v>202</v>
      </c>
      <c r="C93" t="s">
        <v>25</v>
      </c>
      <c r="D93" t="s">
        <v>21</v>
      </c>
      <c r="E93">
        <v>2026</v>
      </c>
      <c r="F93">
        <v>3.37</v>
      </c>
      <c r="G93" t="s">
        <v>22</v>
      </c>
    </row>
    <row r="94" spans="1:7" x14ac:dyDescent="0.35">
      <c r="A94" t="s">
        <v>203</v>
      </c>
      <c r="B94" t="s">
        <v>204</v>
      </c>
      <c r="C94" t="s">
        <v>42</v>
      </c>
      <c r="D94" t="s">
        <v>28</v>
      </c>
      <c r="E94">
        <v>2026</v>
      </c>
      <c r="F94">
        <v>3.1</v>
      </c>
      <c r="G94" t="s">
        <v>29</v>
      </c>
    </row>
    <row r="95" spans="1:7" x14ac:dyDescent="0.35">
      <c r="A95" t="s">
        <v>205</v>
      </c>
      <c r="B95" t="s">
        <v>206</v>
      </c>
      <c r="C95" t="s">
        <v>34</v>
      </c>
      <c r="D95" t="s">
        <v>28</v>
      </c>
      <c r="E95">
        <v>2027</v>
      </c>
      <c r="F95">
        <v>3.02</v>
      </c>
      <c r="G95" t="s">
        <v>29</v>
      </c>
    </row>
    <row r="96" spans="1:7" x14ac:dyDescent="0.35">
      <c r="A96" t="s">
        <v>207</v>
      </c>
      <c r="B96" t="s">
        <v>208</v>
      </c>
      <c r="C96" t="s">
        <v>20</v>
      </c>
      <c r="D96" t="s">
        <v>28</v>
      </c>
      <c r="E96">
        <v>2026</v>
      </c>
      <c r="F96">
        <v>3.14</v>
      </c>
      <c r="G96" t="s">
        <v>29</v>
      </c>
    </row>
    <row r="97" spans="1:7" x14ac:dyDescent="0.35">
      <c r="A97" t="s">
        <v>209</v>
      </c>
      <c r="B97" t="s">
        <v>210</v>
      </c>
      <c r="C97" t="s">
        <v>42</v>
      </c>
      <c r="D97" t="s">
        <v>21</v>
      </c>
      <c r="E97">
        <v>2026</v>
      </c>
      <c r="F97">
        <v>3.44</v>
      </c>
      <c r="G97" t="s">
        <v>29</v>
      </c>
    </row>
    <row r="98" spans="1:7" x14ac:dyDescent="0.35">
      <c r="A98" t="s">
        <v>211</v>
      </c>
      <c r="B98" t="s">
        <v>212</v>
      </c>
      <c r="C98" t="s">
        <v>42</v>
      </c>
      <c r="D98" t="s">
        <v>28</v>
      </c>
      <c r="E98">
        <v>2026</v>
      </c>
      <c r="F98">
        <v>3.7</v>
      </c>
      <c r="G98" t="s">
        <v>29</v>
      </c>
    </row>
    <row r="99" spans="1:7" x14ac:dyDescent="0.35">
      <c r="A99" t="s">
        <v>213</v>
      </c>
      <c r="B99" t="s">
        <v>214</v>
      </c>
      <c r="C99" t="s">
        <v>42</v>
      </c>
      <c r="D99" t="s">
        <v>28</v>
      </c>
      <c r="E99">
        <v>2026</v>
      </c>
      <c r="F99">
        <v>3.96</v>
      </c>
      <c r="G99" t="s">
        <v>29</v>
      </c>
    </row>
    <row r="100" spans="1:7" x14ac:dyDescent="0.35">
      <c r="A100" t="s">
        <v>215</v>
      </c>
      <c r="B100" t="s">
        <v>216</v>
      </c>
      <c r="C100" t="s">
        <v>20</v>
      </c>
      <c r="D100" t="s">
        <v>21</v>
      </c>
      <c r="E100">
        <v>2026</v>
      </c>
      <c r="F100">
        <v>3.56</v>
      </c>
      <c r="G100" t="s">
        <v>29</v>
      </c>
    </row>
    <row r="101" spans="1:7" x14ac:dyDescent="0.35">
      <c r="A101" t="s">
        <v>217</v>
      </c>
      <c r="B101" t="s">
        <v>218</v>
      </c>
      <c r="C101" t="s">
        <v>37</v>
      </c>
      <c r="D101" t="s">
        <v>21</v>
      </c>
      <c r="E101">
        <v>2026</v>
      </c>
      <c r="F101">
        <v>3.47</v>
      </c>
      <c r="G101" t="s">
        <v>22</v>
      </c>
    </row>
    <row r="102" spans="1:7" x14ac:dyDescent="0.35">
      <c r="A102" t="s">
        <v>219</v>
      </c>
      <c r="B102" t="s">
        <v>220</v>
      </c>
      <c r="C102" t="s">
        <v>42</v>
      </c>
      <c r="D102" t="s">
        <v>28</v>
      </c>
      <c r="E102">
        <v>2026</v>
      </c>
      <c r="F102">
        <v>3.33</v>
      </c>
      <c r="G102" t="s">
        <v>22</v>
      </c>
    </row>
    <row r="103" spans="1:7" x14ac:dyDescent="0.35">
      <c r="A103" t="s">
        <v>221</v>
      </c>
      <c r="B103" t="s">
        <v>222</v>
      </c>
      <c r="C103" t="s">
        <v>25</v>
      </c>
      <c r="D103" t="s">
        <v>21</v>
      </c>
      <c r="E103">
        <v>2027</v>
      </c>
      <c r="F103">
        <v>2.92</v>
      </c>
      <c r="G103" t="s">
        <v>22</v>
      </c>
    </row>
    <row r="104" spans="1:7" x14ac:dyDescent="0.35">
      <c r="A104" t="s">
        <v>223</v>
      </c>
      <c r="B104" t="s">
        <v>224</v>
      </c>
      <c r="C104" t="s">
        <v>25</v>
      </c>
      <c r="D104" t="s">
        <v>21</v>
      </c>
      <c r="E104">
        <v>2026</v>
      </c>
      <c r="F104">
        <v>2.89</v>
      </c>
      <c r="G104" t="s">
        <v>29</v>
      </c>
    </row>
    <row r="105" spans="1:7" x14ac:dyDescent="0.35">
      <c r="A105" t="s">
        <v>225</v>
      </c>
      <c r="B105" t="s">
        <v>159</v>
      </c>
      <c r="C105" t="s">
        <v>55</v>
      </c>
      <c r="D105" t="s">
        <v>21</v>
      </c>
      <c r="E105">
        <v>2026</v>
      </c>
      <c r="F105">
        <v>3.14</v>
      </c>
      <c r="G105" t="s">
        <v>22</v>
      </c>
    </row>
    <row r="106" spans="1:7" x14ac:dyDescent="0.35">
      <c r="A106" t="s">
        <v>226</v>
      </c>
      <c r="B106" t="s">
        <v>227</v>
      </c>
      <c r="C106" t="s">
        <v>37</v>
      </c>
      <c r="D106" t="s">
        <v>28</v>
      </c>
      <c r="E106">
        <v>2026</v>
      </c>
      <c r="F106">
        <v>3.59</v>
      </c>
      <c r="G106" t="s">
        <v>22</v>
      </c>
    </row>
    <row r="107" spans="1:7" x14ac:dyDescent="0.35">
      <c r="A107" t="s">
        <v>228</v>
      </c>
      <c r="B107" t="s">
        <v>229</v>
      </c>
      <c r="C107" t="s">
        <v>25</v>
      </c>
      <c r="D107" t="s">
        <v>28</v>
      </c>
      <c r="E107">
        <v>2027</v>
      </c>
      <c r="F107">
        <v>3.79</v>
      </c>
      <c r="G107" t="s">
        <v>29</v>
      </c>
    </row>
    <row r="108" spans="1:7" x14ac:dyDescent="0.35">
      <c r="A108" t="s">
        <v>230</v>
      </c>
      <c r="B108" t="s">
        <v>231</v>
      </c>
      <c r="C108" t="s">
        <v>25</v>
      </c>
      <c r="D108" t="s">
        <v>28</v>
      </c>
      <c r="E108">
        <v>2027</v>
      </c>
      <c r="F108">
        <v>3.33</v>
      </c>
      <c r="G108" t="s">
        <v>22</v>
      </c>
    </row>
    <row r="109" spans="1:7" x14ac:dyDescent="0.35">
      <c r="A109" t="s">
        <v>232</v>
      </c>
      <c r="B109" t="s">
        <v>233</v>
      </c>
      <c r="C109" t="s">
        <v>37</v>
      </c>
      <c r="D109" t="s">
        <v>28</v>
      </c>
      <c r="E109">
        <v>2026</v>
      </c>
      <c r="F109">
        <v>2.9</v>
      </c>
      <c r="G109" t="s">
        <v>29</v>
      </c>
    </row>
    <row r="110" spans="1:7" x14ac:dyDescent="0.35">
      <c r="A110" t="s">
        <v>234</v>
      </c>
      <c r="B110" t="s">
        <v>166</v>
      </c>
      <c r="C110" t="s">
        <v>25</v>
      </c>
      <c r="D110" t="s">
        <v>21</v>
      </c>
      <c r="E110">
        <v>2026</v>
      </c>
      <c r="F110">
        <v>3.61</v>
      </c>
      <c r="G110" t="s">
        <v>22</v>
      </c>
    </row>
    <row r="111" spans="1:7" x14ac:dyDescent="0.35">
      <c r="A111" t="s">
        <v>235</v>
      </c>
      <c r="B111" t="s">
        <v>168</v>
      </c>
      <c r="C111" t="s">
        <v>37</v>
      </c>
      <c r="D111" t="s">
        <v>28</v>
      </c>
      <c r="E111">
        <v>2026</v>
      </c>
      <c r="F111">
        <v>2.85</v>
      </c>
      <c r="G111" t="s">
        <v>22</v>
      </c>
    </row>
    <row r="112" spans="1:7" x14ac:dyDescent="0.35">
      <c r="A112" t="s">
        <v>236</v>
      </c>
      <c r="B112" t="s">
        <v>237</v>
      </c>
      <c r="C112" t="s">
        <v>25</v>
      </c>
      <c r="D112" t="s">
        <v>28</v>
      </c>
      <c r="E112">
        <v>2026</v>
      </c>
      <c r="F112">
        <v>3.5</v>
      </c>
      <c r="G112" t="s">
        <v>22</v>
      </c>
    </row>
    <row r="113" spans="1:7" x14ac:dyDescent="0.35">
      <c r="A113" t="s">
        <v>238</v>
      </c>
      <c r="B113" t="s">
        <v>239</v>
      </c>
      <c r="C113" t="s">
        <v>55</v>
      </c>
      <c r="D113" t="s">
        <v>21</v>
      </c>
      <c r="E113">
        <v>2026</v>
      </c>
      <c r="F113">
        <v>2.93</v>
      </c>
      <c r="G113" t="s">
        <v>29</v>
      </c>
    </row>
    <row r="114" spans="1:7" x14ac:dyDescent="0.35">
      <c r="A114" t="s">
        <v>240</v>
      </c>
      <c r="B114" t="s">
        <v>241</v>
      </c>
      <c r="C114" t="s">
        <v>42</v>
      </c>
      <c r="D114" t="s">
        <v>28</v>
      </c>
      <c r="E114">
        <v>2027</v>
      </c>
      <c r="F114">
        <v>3.46</v>
      </c>
      <c r="G114" t="s">
        <v>22</v>
      </c>
    </row>
    <row r="115" spans="1:7" x14ac:dyDescent="0.35">
      <c r="A115" t="s">
        <v>242</v>
      </c>
      <c r="B115" t="s">
        <v>101</v>
      </c>
      <c r="C115" t="s">
        <v>42</v>
      </c>
      <c r="D115" t="s">
        <v>28</v>
      </c>
      <c r="E115">
        <v>2026</v>
      </c>
      <c r="F115">
        <v>3.42</v>
      </c>
      <c r="G115" t="s">
        <v>22</v>
      </c>
    </row>
    <row r="116" spans="1:7" x14ac:dyDescent="0.35">
      <c r="A116" t="s">
        <v>243</v>
      </c>
      <c r="B116" t="s">
        <v>244</v>
      </c>
      <c r="C116" t="s">
        <v>42</v>
      </c>
      <c r="D116" t="s">
        <v>21</v>
      </c>
      <c r="E116">
        <v>2026</v>
      </c>
      <c r="F116">
        <v>3.71</v>
      </c>
      <c r="G116" t="s">
        <v>22</v>
      </c>
    </row>
    <row r="117" spans="1:7" x14ac:dyDescent="0.35">
      <c r="A117" t="s">
        <v>245</v>
      </c>
      <c r="B117" t="s">
        <v>246</v>
      </c>
      <c r="C117" t="s">
        <v>42</v>
      </c>
      <c r="D117" t="s">
        <v>21</v>
      </c>
      <c r="E117">
        <v>2026</v>
      </c>
      <c r="F117">
        <v>3.86</v>
      </c>
      <c r="G117" t="s">
        <v>22</v>
      </c>
    </row>
    <row r="118" spans="1:7" x14ac:dyDescent="0.35">
      <c r="A118" t="s">
        <v>247</v>
      </c>
      <c r="B118" t="s">
        <v>248</v>
      </c>
      <c r="C118" t="s">
        <v>20</v>
      </c>
      <c r="D118" t="s">
        <v>28</v>
      </c>
      <c r="E118">
        <v>2026</v>
      </c>
      <c r="F118">
        <v>2.82</v>
      </c>
      <c r="G118" t="s">
        <v>22</v>
      </c>
    </row>
    <row r="119" spans="1:7" x14ac:dyDescent="0.35">
      <c r="A119" t="s">
        <v>249</v>
      </c>
      <c r="B119" t="s">
        <v>41</v>
      </c>
      <c r="C119" t="s">
        <v>55</v>
      </c>
      <c r="D119" t="s">
        <v>21</v>
      </c>
      <c r="E119">
        <v>2027</v>
      </c>
      <c r="F119">
        <v>3.4</v>
      </c>
      <c r="G119" t="s">
        <v>22</v>
      </c>
    </row>
    <row r="120" spans="1:7" x14ac:dyDescent="0.35">
      <c r="A120" t="s">
        <v>250</v>
      </c>
      <c r="B120" t="s">
        <v>251</v>
      </c>
      <c r="C120" t="s">
        <v>42</v>
      </c>
      <c r="D120" t="s">
        <v>28</v>
      </c>
      <c r="E120">
        <v>2026</v>
      </c>
      <c r="F120">
        <v>3.35</v>
      </c>
      <c r="G120" t="s">
        <v>29</v>
      </c>
    </row>
    <row r="121" spans="1:7" x14ac:dyDescent="0.35">
      <c r="A121" t="s">
        <v>252</v>
      </c>
      <c r="B121" t="s">
        <v>253</v>
      </c>
      <c r="C121" t="s">
        <v>55</v>
      </c>
      <c r="D121" t="s">
        <v>28</v>
      </c>
      <c r="E121">
        <v>2027</v>
      </c>
      <c r="F121">
        <v>3.13</v>
      </c>
      <c r="G121" t="s">
        <v>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21"/>
  <sheetViews>
    <sheetView workbookViewId="0">
      <selection activeCell="C2" sqref="C2"/>
    </sheetView>
  </sheetViews>
  <sheetFormatPr defaultRowHeight="14.5" x14ac:dyDescent="0.35"/>
  <cols>
    <col min="1" max="1" width="12" customWidth="1"/>
    <col min="2" max="2" width="20" customWidth="1"/>
    <col min="3" max="3" width="16" customWidth="1"/>
    <col min="4" max="4" width="17" customWidth="1"/>
    <col min="5" max="5" width="24" customWidth="1"/>
  </cols>
  <sheetData>
    <row r="1" spans="1:5" x14ac:dyDescent="0.35">
      <c r="A1" t="s">
        <v>11</v>
      </c>
      <c r="B1" t="s">
        <v>254</v>
      </c>
      <c r="C1" t="s">
        <v>255</v>
      </c>
      <c r="D1" t="s">
        <v>256</v>
      </c>
      <c r="E1" t="s">
        <v>257</v>
      </c>
    </row>
    <row r="2" spans="1:5" x14ac:dyDescent="0.35">
      <c r="A2" t="s">
        <v>18</v>
      </c>
      <c r="B2">
        <v>0</v>
      </c>
      <c r="C2">
        <v>2</v>
      </c>
      <c r="D2">
        <v>0</v>
      </c>
      <c r="E2">
        <v>1</v>
      </c>
    </row>
    <row r="3" spans="1:5" x14ac:dyDescent="0.35">
      <c r="A3" t="s">
        <v>23</v>
      </c>
      <c r="B3">
        <v>1</v>
      </c>
      <c r="C3">
        <v>1</v>
      </c>
      <c r="D3">
        <v>2</v>
      </c>
      <c r="E3">
        <v>0</v>
      </c>
    </row>
    <row r="4" spans="1:5" x14ac:dyDescent="0.35">
      <c r="A4" t="s">
        <v>26</v>
      </c>
      <c r="B4">
        <v>4</v>
      </c>
      <c r="C4">
        <v>2</v>
      </c>
      <c r="D4">
        <v>1</v>
      </c>
      <c r="E4">
        <v>3</v>
      </c>
    </row>
    <row r="5" spans="1:5" x14ac:dyDescent="0.35">
      <c r="A5" t="s">
        <v>30</v>
      </c>
      <c r="B5">
        <v>3</v>
      </c>
      <c r="C5">
        <v>1</v>
      </c>
      <c r="D5">
        <v>2</v>
      </c>
      <c r="E5">
        <v>1</v>
      </c>
    </row>
    <row r="6" spans="1:5" x14ac:dyDescent="0.35">
      <c r="A6" t="s">
        <v>32</v>
      </c>
      <c r="B6">
        <v>2</v>
      </c>
      <c r="C6">
        <v>3</v>
      </c>
      <c r="D6">
        <v>1</v>
      </c>
      <c r="E6">
        <v>3</v>
      </c>
    </row>
    <row r="7" spans="1:5" x14ac:dyDescent="0.35">
      <c r="A7" t="s">
        <v>35</v>
      </c>
      <c r="B7">
        <v>5</v>
      </c>
      <c r="C7">
        <v>0</v>
      </c>
      <c r="D7">
        <v>0</v>
      </c>
      <c r="E7">
        <v>1</v>
      </c>
    </row>
    <row r="8" spans="1:5" x14ac:dyDescent="0.35">
      <c r="A8" t="s">
        <v>38</v>
      </c>
      <c r="B8">
        <v>4</v>
      </c>
      <c r="C8">
        <v>1</v>
      </c>
      <c r="D8">
        <v>3</v>
      </c>
      <c r="E8">
        <v>1</v>
      </c>
    </row>
    <row r="9" spans="1:5" x14ac:dyDescent="0.35">
      <c r="A9" t="s">
        <v>40</v>
      </c>
      <c r="B9">
        <v>3</v>
      </c>
      <c r="C9">
        <v>1</v>
      </c>
      <c r="D9">
        <v>3</v>
      </c>
      <c r="E9">
        <v>3</v>
      </c>
    </row>
    <row r="10" spans="1:5" x14ac:dyDescent="0.35">
      <c r="A10" t="s">
        <v>43</v>
      </c>
      <c r="B10">
        <v>4</v>
      </c>
      <c r="C10">
        <v>1</v>
      </c>
      <c r="D10">
        <v>1</v>
      </c>
      <c r="E10">
        <v>1</v>
      </c>
    </row>
    <row r="11" spans="1:5" x14ac:dyDescent="0.35">
      <c r="A11" t="s">
        <v>45</v>
      </c>
      <c r="B11">
        <v>3</v>
      </c>
      <c r="C11">
        <v>1</v>
      </c>
      <c r="D11">
        <v>2</v>
      </c>
      <c r="E11">
        <v>2</v>
      </c>
    </row>
    <row r="12" spans="1:5" x14ac:dyDescent="0.35">
      <c r="A12" t="s">
        <v>47</v>
      </c>
      <c r="B12">
        <v>3</v>
      </c>
      <c r="C12">
        <v>1</v>
      </c>
      <c r="D12">
        <v>1</v>
      </c>
      <c r="E12">
        <v>1</v>
      </c>
    </row>
    <row r="13" spans="1:5" x14ac:dyDescent="0.35">
      <c r="A13" t="s">
        <v>49</v>
      </c>
      <c r="B13">
        <v>4</v>
      </c>
      <c r="C13">
        <v>1</v>
      </c>
      <c r="D13">
        <v>0</v>
      </c>
      <c r="E13">
        <v>2</v>
      </c>
    </row>
    <row r="14" spans="1:5" x14ac:dyDescent="0.35">
      <c r="A14" t="s">
        <v>51</v>
      </c>
      <c r="B14">
        <v>5</v>
      </c>
      <c r="C14">
        <v>1</v>
      </c>
      <c r="D14">
        <v>2</v>
      </c>
      <c r="E14">
        <v>1</v>
      </c>
    </row>
    <row r="15" spans="1:5" x14ac:dyDescent="0.35">
      <c r="A15" t="s">
        <v>53</v>
      </c>
      <c r="B15">
        <v>6</v>
      </c>
      <c r="C15">
        <v>1</v>
      </c>
      <c r="D15">
        <v>1</v>
      </c>
      <c r="E15">
        <v>0</v>
      </c>
    </row>
    <row r="16" spans="1:5" x14ac:dyDescent="0.35">
      <c r="A16" t="s">
        <v>56</v>
      </c>
      <c r="B16">
        <v>3</v>
      </c>
      <c r="C16">
        <v>2</v>
      </c>
      <c r="D16">
        <v>2</v>
      </c>
      <c r="E16">
        <v>1</v>
      </c>
    </row>
    <row r="17" spans="1:5" x14ac:dyDescent="0.35">
      <c r="A17" t="s">
        <v>58</v>
      </c>
      <c r="B17">
        <v>5</v>
      </c>
      <c r="C17">
        <v>1</v>
      </c>
      <c r="D17">
        <v>2</v>
      </c>
      <c r="E17">
        <v>2</v>
      </c>
    </row>
    <row r="18" spans="1:5" x14ac:dyDescent="0.35">
      <c r="A18" t="s">
        <v>60</v>
      </c>
      <c r="B18">
        <v>3</v>
      </c>
      <c r="C18">
        <v>3</v>
      </c>
      <c r="D18">
        <v>1</v>
      </c>
      <c r="E18">
        <v>2</v>
      </c>
    </row>
    <row r="19" spans="1:5" x14ac:dyDescent="0.35">
      <c r="A19" t="s">
        <v>62</v>
      </c>
      <c r="B19">
        <v>2</v>
      </c>
      <c r="C19">
        <v>2</v>
      </c>
      <c r="D19">
        <v>1</v>
      </c>
      <c r="E19">
        <v>1</v>
      </c>
    </row>
    <row r="20" spans="1:5" x14ac:dyDescent="0.35">
      <c r="A20" t="s">
        <v>64</v>
      </c>
      <c r="B20">
        <v>3</v>
      </c>
      <c r="C20">
        <v>2</v>
      </c>
      <c r="D20">
        <v>2</v>
      </c>
      <c r="E20">
        <v>1</v>
      </c>
    </row>
    <row r="21" spans="1:5" x14ac:dyDescent="0.35">
      <c r="A21" t="s">
        <v>66</v>
      </c>
      <c r="B21">
        <v>6</v>
      </c>
      <c r="C21">
        <v>2</v>
      </c>
      <c r="D21">
        <v>1</v>
      </c>
      <c r="E21">
        <v>2</v>
      </c>
    </row>
    <row r="22" spans="1:5" x14ac:dyDescent="0.35">
      <c r="A22" t="s">
        <v>68</v>
      </c>
      <c r="B22">
        <v>1</v>
      </c>
      <c r="C22">
        <v>0</v>
      </c>
      <c r="D22">
        <v>1</v>
      </c>
      <c r="E22">
        <v>3</v>
      </c>
    </row>
    <row r="23" spans="1:5" x14ac:dyDescent="0.35">
      <c r="A23" t="s">
        <v>70</v>
      </c>
      <c r="B23">
        <v>2</v>
      </c>
      <c r="C23">
        <v>2</v>
      </c>
      <c r="D23">
        <v>1</v>
      </c>
      <c r="E23">
        <v>2</v>
      </c>
    </row>
    <row r="24" spans="1:5" x14ac:dyDescent="0.35">
      <c r="A24" t="s">
        <v>72</v>
      </c>
      <c r="B24">
        <v>3</v>
      </c>
      <c r="C24">
        <v>3</v>
      </c>
      <c r="D24">
        <v>1</v>
      </c>
      <c r="E24">
        <v>0</v>
      </c>
    </row>
    <row r="25" spans="1:5" x14ac:dyDescent="0.35">
      <c r="A25" t="s">
        <v>74</v>
      </c>
      <c r="B25">
        <v>4</v>
      </c>
      <c r="C25">
        <v>2</v>
      </c>
      <c r="D25">
        <v>1</v>
      </c>
      <c r="E25">
        <v>2</v>
      </c>
    </row>
    <row r="26" spans="1:5" x14ac:dyDescent="0.35">
      <c r="A26" t="s">
        <v>76</v>
      </c>
      <c r="B26">
        <v>4</v>
      </c>
      <c r="C26">
        <v>1</v>
      </c>
      <c r="D26">
        <v>0</v>
      </c>
      <c r="E26">
        <v>2</v>
      </c>
    </row>
    <row r="27" spans="1:5" x14ac:dyDescent="0.35">
      <c r="A27" t="s">
        <v>77</v>
      </c>
      <c r="B27">
        <v>2</v>
      </c>
      <c r="C27">
        <v>3</v>
      </c>
      <c r="D27">
        <v>3</v>
      </c>
      <c r="E27">
        <v>0</v>
      </c>
    </row>
    <row r="28" spans="1:5" x14ac:dyDescent="0.35">
      <c r="A28" t="s">
        <v>79</v>
      </c>
      <c r="B28">
        <v>5</v>
      </c>
      <c r="C28">
        <v>2</v>
      </c>
      <c r="D28">
        <v>2</v>
      </c>
      <c r="E28">
        <v>2</v>
      </c>
    </row>
    <row r="29" spans="1:5" x14ac:dyDescent="0.35">
      <c r="A29" t="s">
        <v>81</v>
      </c>
      <c r="B29">
        <v>5</v>
      </c>
      <c r="C29">
        <v>2</v>
      </c>
      <c r="D29">
        <v>1</v>
      </c>
      <c r="E29">
        <v>2</v>
      </c>
    </row>
    <row r="30" spans="1:5" x14ac:dyDescent="0.35">
      <c r="A30" t="s">
        <v>83</v>
      </c>
      <c r="B30">
        <v>4</v>
      </c>
      <c r="C30">
        <v>1</v>
      </c>
      <c r="D30">
        <v>2</v>
      </c>
      <c r="E30">
        <v>1</v>
      </c>
    </row>
    <row r="31" spans="1:5" x14ac:dyDescent="0.35">
      <c r="A31" t="s">
        <v>85</v>
      </c>
      <c r="B31">
        <v>4</v>
      </c>
      <c r="C31">
        <v>2</v>
      </c>
      <c r="D31">
        <v>1</v>
      </c>
      <c r="E31">
        <v>0</v>
      </c>
    </row>
    <row r="32" spans="1:5" x14ac:dyDescent="0.35">
      <c r="A32" t="s">
        <v>87</v>
      </c>
      <c r="B32">
        <v>6</v>
      </c>
      <c r="C32">
        <v>3</v>
      </c>
      <c r="D32">
        <v>0</v>
      </c>
      <c r="E32">
        <v>2</v>
      </c>
    </row>
    <row r="33" spans="1:5" x14ac:dyDescent="0.35">
      <c r="A33" t="s">
        <v>88</v>
      </c>
      <c r="B33">
        <v>3</v>
      </c>
      <c r="C33">
        <v>4</v>
      </c>
      <c r="D33">
        <v>1</v>
      </c>
      <c r="E33">
        <v>2</v>
      </c>
    </row>
    <row r="34" spans="1:5" x14ac:dyDescent="0.35">
      <c r="A34" t="s">
        <v>90</v>
      </c>
      <c r="B34">
        <v>4</v>
      </c>
      <c r="C34">
        <v>1</v>
      </c>
      <c r="D34">
        <v>2</v>
      </c>
      <c r="E34">
        <v>1</v>
      </c>
    </row>
    <row r="35" spans="1:5" x14ac:dyDescent="0.35">
      <c r="A35" t="s">
        <v>92</v>
      </c>
      <c r="B35">
        <v>3</v>
      </c>
      <c r="C35">
        <v>2</v>
      </c>
      <c r="D35">
        <v>2</v>
      </c>
      <c r="E35">
        <v>1</v>
      </c>
    </row>
    <row r="36" spans="1:5" x14ac:dyDescent="0.35">
      <c r="A36" t="s">
        <v>94</v>
      </c>
      <c r="B36">
        <v>2</v>
      </c>
      <c r="C36">
        <v>1</v>
      </c>
      <c r="D36">
        <v>2</v>
      </c>
      <c r="E36">
        <v>2</v>
      </c>
    </row>
    <row r="37" spans="1:5" x14ac:dyDescent="0.35">
      <c r="A37" t="s">
        <v>96</v>
      </c>
      <c r="B37">
        <v>3</v>
      </c>
      <c r="C37">
        <v>2</v>
      </c>
      <c r="D37">
        <v>1</v>
      </c>
      <c r="E37">
        <v>1</v>
      </c>
    </row>
    <row r="38" spans="1:5" x14ac:dyDescent="0.35">
      <c r="A38" t="s">
        <v>98</v>
      </c>
      <c r="B38">
        <v>3</v>
      </c>
      <c r="C38">
        <v>3</v>
      </c>
      <c r="D38">
        <v>2</v>
      </c>
      <c r="E38">
        <v>1</v>
      </c>
    </row>
    <row r="39" spans="1:5" x14ac:dyDescent="0.35">
      <c r="A39" t="s">
        <v>100</v>
      </c>
      <c r="B39">
        <v>6</v>
      </c>
      <c r="C39">
        <v>1</v>
      </c>
      <c r="D39">
        <v>2</v>
      </c>
      <c r="E39">
        <v>2</v>
      </c>
    </row>
    <row r="40" spans="1:5" x14ac:dyDescent="0.35">
      <c r="A40" t="s">
        <v>102</v>
      </c>
      <c r="B40">
        <v>5</v>
      </c>
      <c r="C40">
        <v>2</v>
      </c>
      <c r="D40">
        <v>2</v>
      </c>
      <c r="E40">
        <v>2</v>
      </c>
    </row>
    <row r="41" spans="1:5" x14ac:dyDescent="0.35">
      <c r="A41" t="s">
        <v>104</v>
      </c>
      <c r="B41">
        <v>3</v>
      </c>
      <c r="C41">
        <v>1</v>
      </c>
      <c r="D41">
        <v>1</v>
      </c>
      <c r="E41">
        <v>2</v>
      </c>
    </row>
    <row r="42" spans="1:5" x14ac:dyDescent="0.35">
      <c r="A42" t="s">
        <v>106</v>
      </c>
      <c r="B42">
        <v>2</v>
      </c>
      <c r="C42">
        <v>2</v>
      </c>
      <c r="D42">
        <v>1</v>
      </c>
      <c r="E42">
        <v>1</v>
      </c>
    </row>
    <row r="43" spans="1:5" x14ac:dyDescent="0.35">
      <c r="A43" t="s">
        <v>108</v>
      </c>
      <c r="B43">
        <v>5</v>
      </c>
      <c r="C43">
        <v>2</v>
      </c>
      <c r="D43">
        <v>1</v>
      </c>
      <c r="E43">
        <v>3</v>
      </c>
    </row>
    <row r="44" spans="1:5" x14ac:dyDescent="0.35">
      <c r="A44" t="s">
        <v>110</v>
      </c>
      <c r="B44">
        <v>4</v>
      </c>
      <c r="C44">
        <v>4</v>
      </c>
      <c r="D44">
        <v>1</v>
      </c>
      <c r="E44">
        <v>1</v>
      </c>
    </row>
    <row r="45" spans="1:5" x14ac:dyDescent="0.35">
      <c r="A45" t="s">
        <v>112</v>
      </c>
      <c r="B45">
        <v>1</v>
      </c>
      <c r="C45">
        <v>2</v>
      </c>
      <c r="D45">
        <v>2</v>
      </c>
      <c r="E45">
        <v>2</v>
      </c>
    </row>
    <row r="46" spans="1:5" x14ac:dyDescent="0.35">
      <c r="A46" t="s">
        <v>114</v>
      </c>
      <c r="B46">
        <v>2</v>
      </c>
      <c r="C46">
        <v>1</v>
      </c>
      <c r="D46">
        <v>1</v>
      </c>
      <c r="E46">
        <v>2</v>
      </c>
    </row>
    <row r="47" spans="1:5" x14ac:dyDescent="0.35">
      <c r="A47" t="s">
        <v>116</v>
      </c>
      <c r="B47">
        <v>4</v>
      </c>
      <c r="C47">
        <v>1</v>
      </c>
      <c r="D47">
        <v>1</v>
      </c>
      <c r="E47">
        <v>1</v>
      </c>
    </row>
    <row r="48" spans="1:5" x14ac:dyDescent="0.35">
      <c r="A48" t="s">
        <v>118</v>
      </c>
      <c r="B48">
        <v>2</v>
      </c>
      <c r="C48">
        <v>1</v>
      </c>
      <c r="D48">
        <v>2</v>
      </c>
      <c r="E48">
        <v>0</v>
      </c>
    </row>
    <row r="49" spans="1:5" x14ac:dyDescent="0.35">
      <c r="A49" t="s">
        <v>120</v>
      </c>
      <c r="B49">
        <v>3</v>
      </c>
      <c r="C49">
        <v>1</v>
      </c>
      <c r="D49">
        <v>1</v>
      </c>
      <c r="E49">
        <v>1</v>
      </c>
    </row>
    <row r="50" spans="1:5" x14ac:dyDescent="0.35">
      <c r="A50" t="s">
        <v>122</v>
      </c>
      <c r="B50">
        <v>6</v>
      </c>
      <c r="C50">
        <v>3</v>
      </c>
      <c r="D50">
        <v>1</v>
      </c>
      <c r="E50">
        <v>1</v>
      </c>
    </row>
    <row r="51" spans="1:5" x14ac:dyDescent="0.35">
      <c r="A51" t="s">
        <v>123</v>
      </c>
      <c r="B51">
        <v>6</v>
      </c>
      <c r="C51">
        <v>2</v>
      </c>
      <c r="D51">
        <v>1</v>
      </c>
      <c r="E51">
        <v>2</v>
      </c>
    </row>
    <row r="52" spans="1:5" x14ac:dyDescent="0.35">
      <c r="A52" t="s">
        <v>125</v>
      </c>
      <c r="B52">
        <v>6</v>
      </c>
      <c r="C52">
        <v>2</v>
      </c>
      <c r="D52">
        <v>3</v>
      </c>
      <c r="E52">
        <v>3</v>
      </c>
    </row>
    <row r="53" spans="1:5" x14ac:dyDescent="0.35">
      <c r="A53" t="s">
        <v>127</v>
      </c>
      <c r="B53">
        <v>4</v>
      </c>
      <c r="C53">
        <v>0</v>
      </c>
      <c r="D53">
        <v>1</v>
      </c>
      <c r="E53">
        <v>3</v>
      </c>
    </row>
    <row r="54" spans="1:5" x14ac:dyDescent="0.35">
      <c r="A54" t="s">
        <v>129</v>
      </c>
      <c r="B54">
        <v>4</v>
      </c>
      <c r="C54">
        <v>1</v>
      </c>
      <c r="D54">
        <v>3</v>
      </c>
      <c r="E54">
        <v>1</v>
      </c>
    </row>
    <row r="55" spans="1:5" x14ac:dyDescent="0.35">
      <c r="A55" t="s">
        <v>131</v>
      </c>
      <c r="B55">
        <v>3</v>
      </c>
      <c r="C55">
        <v>0</v>
      </c>
      <c r="D55">
        <v>2</v>
      </c>
      <c r="E55">
        <v>1</v>
      </c>
    </row>
    <row r="56" spans="1:5" x14ac:dyDescent="0.35">
      <c r="A56" t="s">
        <v>133</v>
      </c>
      <c r="B56">
        <v>2</v>
      </c>
      <c r="C56">
        <v>2</v>
      </c>
      <c r="D56">
        <v>2</v>
      </c>
      <c r="E56">
        <v>1</v>
      </c>
    </row>
    <row r="57" spans="1:5" x14ac:dyDescent="0.35">
      <c r="A57" t="s">
        <v>135</v>
      </c>
      <c r="B57">
        <v>3</v>
      </c>
      <c r="C57">
        <v>3</v>
      </c>
      <c r="D57">
        <v>2</v>
      </c>
      <c r="E57">
        <v>2</v>
      </c>
    </row>
    <row r="58" spans="1:5" x14ac:dyDescent="0.35">
      <c r="A58" t="s">
        <v>137</v>
      </c>
      <c r="B58">
        <v>2</v>
      </c>
      <c r="C58">
        <v>0</v>
      </c>
      <c r="D58">
        <v>2</v>
      </c>
      <c r="E58">
        <v>1</v>
      </c>
    </row>
    <row r="59" spans="1:5" x14ac:dyDescent="0.35">
      <c r="A59" t="s">
        <v>138</v>
      </c>
      <c r="B59">
        <v>4</v>
      </c>
      <c r="C59">
        <v>4</v>
      </c>
      <c r="D59">
        <v>0</v>
      </c>
      <c r="E59">
        <v>2</v>
      </c>
    </row>
    <row r="60" spans="1:5" x14ac:dyDescent="0.35">
      <c r="A60" t="s">
        <v>140</v>
      </c>
      <c r="B60">
        <v>4</v>
      </c>
      <c r="C60">
        <v>2</v>
      </c>
      <c r="D60">
        <v>2</v>
      </c>
      <c r="E60">
        <v>0</v>
      </c>
    </row>
    <row r="61" spans="1:5" x14ac:dyDescent="0.35">
      <c r="A61" t="s">
        <v>142</v>
      </c>
      <c r="B61">
        <v>4</v>
      </c>
      <c r="C61">
        <v>0</v>
      </c>
      <c r="D61">
        <v>2</v>
      </c>
      <c r="E61">
        <v>1</v>
      </c>
    </row>
    <row r="62" spans="1:5" x14ac:dyDescent="0.35">
      <c r="A62" t="s">
        <v>144</v>
      </c>
      <c r="B62">
        <v>5</v>
      </c>
      <c r="C62">
        <v>2</v>
      </c>
      <c r="D62">
        <v>0</v>
      </c>
      <c r="E62">
        <v>1</v>
      </c>
    </row>
    <row r="63" spans="1:5" x14ac:dyDescent="0.35">
      <c r="A63" t="s">
        <v>146</v>
      </c>
      <c r="B63">
        <v>4</v>
      </c>
      <c r="C63">
        <v>1</v>
      </c>
      <c r="D63">
        <v>1</v>
      </c>
      <c r="E63">
        <v>2</v>
      </c>
    </row>
    <row r="64" spans="1:5" x14ac:dyDescent="0.35">
      <c r="A64" t="s">
        <v>148</v>
      </c>
      <c r="B64">
        <v>5</v>
      </c>
      <c r="C64">
        <v>2</v>
      </c>
      <c r="D64">
        <v>2</v>
      </c>
      <c r="E64">
        <v>0</v>
      </c>
    </row>
    <row r="65" spans="1:5" x14ac:dyDescent="0.35">
      <c r="A65" t="s">
        <v>150</v>
      </c>
      <c r="B65">
        <v>6</v>
      </c>
      <c r="C65">
        <v>1</v>
      </c>
      <c r="D65">
        <v>1</v>
      </c>
      <c r="E65">
        <v>2</v>
      </c>
    </row>
    <row r="66" spans="1:5" x14ac:dyDescent="0.35">
      <c r="A66" t="s">
        <v>152</v>
      </c>
      <c r="B66">
        <v>5</v>
      </c>
      <c r="C66">
        <v>0</v>
      </c>
      <c r="D66">
        <v>2</v>
      </c>
      <c r="E66">
        <v>0</v>
      </c>
    </row>
    <row r="67" spans="1:5" x14ac:dyDescent="0.35">
      <c r="A67" t="s">
        <v>154</v>
      </c>
      <c r="B67">
        <v>3</v>
      </c>
      <c r="C67">
        <v>1</v>
      </c>
      <c r="D67">
        <v>1</v>
      </c>
      <c r="E67">
        <v>1</v>
      </c>
    </row>
    <row r="68" spans="1:5" x14ac:dyDescent="0.35">
      <c r="A68" t="s">
        <v>156</v>
      </c>
      <c r="B68">
        <v>2</v>
      </c>
      <c r="C68">
        <v>1</v>
      </c>
      <c r="D68">
        <v>2</v>
      </c>
      <c r="E68">
        <v>1</v>
      </c>
    </row>
    <row r="69" spans="1:5" x14ac:dyDescent="0.35">
      <c r="A69" t="s">
        <v>158</v>
      </c>
      <c r="B69">
        <v>6</v>
      </c>
      <c r="C69">
        <v>3</v>
      </c>
      <c r="D69">
        <v>2</v>
      </c>
      <c r="E69">
        <v>2</v>
      </c>
    </row>
    <row r="70" spans="1:5" x14ac:dyDescent="0.35">
      <c r="A70" t="s">
        <v>160</v>
      </c>
      <c r="B70">
        <v>1</v>
      </c>
      <c r="C70">
        <v>3</v>
      </c>
      <c r="D70">
        <v>0</v>
      </c>
      <c r="E70">
        <v>2</v>
      </c>
    </row>
    <row r="71" spans="1:5" x14ac:dyDescent="0.35">
      <c r="A71" t="s">
        <v>162</v>
      </c>
      <c r="B71">
        <v>5</v>
      </c>
      <c r="C71">
        <v>1</v>
      </c>
      <c r="D71">
        <v>1</v>
      </c>
      <c r="E71">
        <v>2</v>
      </c>
    </row>
    <row r="72" spans="1:5" x14ac:dyDescent="0.35">
      <c r="A72" t="s">
        <v>164</v>
      </c>
      <c r="B72">
        <v>3</v>
      </c>
      <c r="C72">
        <v>1</v>
      </c>
      <c r="D72">
        <v>3</v>
      </c>
      <c r="E72">
        <v>1</v>
      </c>
    </row>
    <row r="73" spans="1:5" x14ac:dyDescent="0.35">
      <c r="A73" t="s">
        <v>165</v>
      </c>
      <c r="B73">
        <v>3</v>
      </c>
      <c r="C73">
        <v>0</v>
      </c>
      <c r="D73">
        <v>2</v>
      </c>
      <c r="E73">
        <v>0</v>
      </c>
    </row>
    <row r="74" spans="1:5" x14ac:dyDescent="0.35">
      <c r="A74" t="s">
        <v>167</v>
      </c>
      <c r="B74">
        <v>5</v>
      </c>
      <c r="C74">
        <v>2</v>
      </c>
      <c r="D74">
        <v>2</v>
      </c>
      <c r="E74">
        <v>3</v>
      </c>
    </row>
    <row r="75" spans="1:5" x14ac:dyDescent="0.35">
      <c r="A75" t="s">
        <v>169</v>
      </c>
      <c r="B75">
        <v>3</v>
      </c>
      <c r="C75">
        <v>3</v>
      </c>
      <c r="D75">
        <v>0</v>
      </c>
      <c r="E75">
        <v>3</v>
      </c>
    </row>
    <row r="76" spans="1:5" x14ac:dyDescent="0.35">
      <c r="A76" t="s">
        <v>171</v>
      </c>
      <c r="B76">
        <v>3</v>
      </c>
      <c r="C76">
        <v>1</v>
      </c>
      <c r="D76">
        <v>0</v>
      </c>
      <c r="E76">
        <v>0</v>
      </c>
    </row>
    <row r="77" spans="1:5" x14ac:dyDescent="0.35">
      <c r="A77" t="s">
        <v>173</v>
      </c>
      <c r="B77">
        <v>4</v>
      </c>
      <c r="C77">
        <v>2</v>
      </c>
      <c r="D77">
        <v>0</v>
      </c>
      <c r="E77">
        <v>2</v>
      </c>
    </row>
    <row r="78" spans="1:5" x14ac:dyDescent="0.35">
      <c r="A78" t="s">
        <v>174</v>
      </c>
      <c r="B78">
        <v>2</v>
      </c>
      <c r="C78">
        <v>1</v>
      </c>
      <c r="D78">
        <v>1</v>
      </c>
      <c r="E78">
        <v>1</v>
      </c>
    </row>
    <row r="79" spans="1:5" x14ac:dyDescent="0.35">
      <c r="A79" t="s">
        <v>176</v>
      </c>
      <c r="B79">
        <v>2</v>
      </c>
      <c r="C79">
        <v>2</v>
      </c>
      <c r="D79">
        <v>2</v>
      </c>
      <c r="E79">
        <v>0</v>
      </c>
    </row>
    <row r="80" spans="1:5" x14ac:dyDescent="0.35">
      <c r="A80" t="s">
        <v>178</v>
      </c>
      <c r="B80">
        <v>3</v>
      </c>
      <c r="C80">
        <v>1</v>
      </c>
      <c r="D80">
        <v>2</v>
      </c>
      <c r="E80">
        <v>2</v>
      </c>
    </row>
    <row r="81" spans="1:5" x14ac:dyDescent="0.35">
      <c r="A81" t="s">
        <v>180</v>
      </c>
      <c r="B81">
        <v>1</v>
      </c>
      <c r="C81">
        <v>2</v>
      </c>
      <c r="D81">
        <v>0</v>
      </c>
      <c r="E81">
        <v>0</v>
      </c>
    </row>
    <row r="82" spans="1:5" x14ac:dyDescent="0.35">
      <c r="A82" t="s">
        <v>182</v>
      </c>
      <c r="B82">
        <v>4</v>
      </c>
      <c r="C82">
        <v>2</v>
      </c>
      <c r="D82">
        <v>1</v>
      </c>
      <c r="E82">
        <v>1</v>
      </c>
    </row>
    <row r="83" spans="1:5" x14ac:dyDescent="0.35">
      <c r="A83" t="s">
        <v>184</v>
      </c>
      <c r="B83">
        <v>1</v>
      </c>
      <c r="C83">
        <v>0</v>
      </c>
      <c r="D83">
        <v>1</v>
      </c>
      <c r="E83">
        <v>1</v>
      </c>
    </row>
    <row r="84" spans="1:5" x14ac:dyDescent="0.35">
      <c r="A84" t="s">
        <v>186</v>
      </c>
      <c r="B84">
        <v>6</v>
      </c>
      <c r="C84">
        <v>1</v>
      </c>
      <c r="D84">
        <v>0</v>
      </c>
      <c r="E84">
        <v>0</v>
      </c>
    </row>
    <row r="85" spans="1:5" x14ac:dyDescent="0.35">
      <c r="A85" t="s">
        <v>188</v>
      </c>
      <c r="B85">
        <v>3</v>
      </c>
      <c r="C85">
        <v>2</v>
      </c>
      <c r="D85">
        <v>2</v>
      </c>
      <c r="E85">
        <v>2</v>
      </c>
    </row>
    <row r="86" spans="1:5" x14ac:dyDescent="0.35">
      <c r="A86" t="s">
        <v>190</v>
      </c>
      <c r="B86">
        <v>4</v>
      </c>
      <c r="C86">
        <v>1</v>
      </c>
      <c r="D86">
        <v>0</v>
      </c>
      <c r="E86">
        <v>2</v>
      </c>
    </row>
    <row r="87" spans="1:5" x14ac:dyDescent="0.35">
      <c r="A87" t="s">
        <v>192</v>
      </c>
      <c r="B87">
        <v>2</v>
      </c>
      <c r="C87">
        <v>2</v>
      </c>
      <c r="D87">
        <v>1</v>
      </c>
      <c r="E87">
        <v>2</v>
      </c>
    </row>
    <row r="88" spans="1:5" x14ac:dyDescent="0.35">
      <c r="A88" t="s">
        <v>193</v>
      </c>
      <c r="B88">
        <v>5</v>
      </c>
      <c r="C88">
        <v>0</v>
      </c>
      <c r="D88">
        <v>0</v>
      </c>
      <c r="E88">
        <v>2</v>
      </c>
    </row>
    <row r="89" spans="1:5" x14ac:dyDescent="0.35">
      <c r="A89" t="s">
        <v>194</v>
      </c>
      <c r="B89">
        <v>4</v>
      </c>
      <c r="C89">
        <v>4</v>
      </c>
      <c r="D89">
        <v>0</v>
      </c>
      <c r="E89">
        <v>1</v>
      </c>
    </row>
    <row r="90" spans="1:5" x14ac:dyDescent="0.35">
      <c r="A90" t="s">
        <v>196</v>
      </c>
      <c r="B90">
        <v>2</v>
      </c>
      <c r="C90">
        <v>1</v>
      </c>
      <c r="D90">
        <v>1</v>
      </c>
      <c r="E90">
        <v>1</v>
      </c>
    </row>
    <row r="91" spans="1:5" x14ac:dyDescent="0.35">
      <c r="A91" t="s">
        <v>198</v>
      </c>
      <c r="B91">
        <v>2</v>
      </c>
      <c r="C91">
        <v>3</v>
      </c>
      <c r="D91">
        <v>3</v>
      </c>
      <c r="E91">
        <v>2</v>
      </c>
    </row>
    <row r="92" spans="1:5" x14ac:dyDescent="0.35">
      <c r="A92" t="s">
        <v>200</v>
      </c>
      <c r="B92">
        <v>5</v>
      </c>
      <c r="C92">
        <v>2</v>
      </c>
      <c r="D92">
        <v>2</v>
      </c>
      <c r="E92">
        <v>3</v>
      </c>
    </row>
    <row r="93" spans="1:5" x14ac:dyDescent="0.35">
      <c r="A93" t="s">
        <v>201</v>
      </c>
      <c r="B93">
        <v>3</v>
      </c>
      <c r="C93">
        <v>0</v>
      </c>
      <c r="D93">
        <v>2</v>
      </c>
      <c r="E93">
        <v>1</v>
      </c>
    </row>
    <row r="94" spans="1:5" x14ac:dyDescent="0.35">
      <c r="A94" t="s">
        <v>203</v>
      </c>
      <c r="B94">
        <v>2</v>
      </c>
      <c r="C94">
        <v>4</v>
      </c>
      <c r="D94">
        <v>1</v>
      </c>
      <c r="E94">
        <v>3</v>
      </c>
    </row>
    <row r="95" spans="1:5" x14ac:dyDescent="0.35">
      <c r="A95" t="s">
        <v>205</v>
      </c>
      <c r="B95">
        <v>4</v>
      </c>
      <c r="C95">
        <v>2</v>
      </c>
      <c r="D95">
        <v>2</v>
      </c>
      <c r="E95">
        <v>3</v>
      </c>
    </row>
    <row r="96" spans="1:5" x14ac:dyDescent="0.35">
      <c r="A96" t="s">
        <v>207</v>
      </c>
      <c r="B96">
        <v>4</v>
      </c>
      <c r="C96">
        <v>2</v>
      </c>
      <c r="D96">
        <v>3</v>
      </c>
      <c r="E96">
        <v>2</v>
      </c>
    </row>
    <row r="97" spans="1:5" x14ac:dyDescent="0.35">
      <c r="A97" t="s">
        <v>209</v>
      </c>
      <c r="B97">
        <v>3</v>
      </c>
      <c r="C97">
        <v>2</v>
      </c>
      <c r="D97">
        <v>3</v>
      </c>
      <c r="E97">
        <v>1</v>
      </c>
    </row>
    <row r="98" spans="1:5" x14ac:dyDescent="0.35">
      <c r="A98" t="s">
        <v>211</v>
      </c>
      <c r="B98">
        <v>6</v>
      </c>
      <c r="C98">
        <v>1</v>
      </c>
      <c r="D98">
        <v>2</v>
      </c>
      <c r="E98">
        <v>1</v>
      </c>
    </row>
    <row r="99" spans="1:5" x14ac:dyDescent="0.35">
      <c r="A99" t="s">
        <v>213</v>
      </c>
      <c r="B99">
        <v>3</v>
      </c>
      <c r="C99">
        <v>3</v>
      </c>
      <c r="D99">
        <v>2</v>
      </c>
      <c r="E99">
        <v>1</v>
      </c>
    </row>
    <row r="100" spans="1:5" x14ac:dyDescent="0.35">
      <c r="A100" t="s">
        <v>215</v>
      </c>
      <c r="B100">
        <v>3</v>
      </c>
      <c r="C100">
        <v>2</v>
      </c>
      <c r="D100">
        <v>1</v>
      </c>
      <c r="E100">
        <v>0</v>
      </c>
    </row>
    <row r="101" spans="1:5" x14ac:dyDescent="0.35">
      <c r="A101" t="s">
        <v>217</v>
      </c>
      <c r="B101">
        <v>1</v>
      </c>
      <c r="C101">
        <v>1</v>
      </c>
      <c r="D101">
        <v>0</v>
      </c>
      <c r="E101">
        <v>1</v>
      </c>
    </row>
    <row r="102" spans="1:5" x14ac:dyDescent="0.35">
      <c r="A102" t="s">
        <v>219</v>
      </c>
      <c r="B102">
        <v>3</v>
      </c>
      <c r="C102">
        <v>2</v>
      </c>
      <c r="D102">
        <v>2</v>
      </c>
      <c r="E102">
        <v>1</v>
      </c>
    </row>
    <row r="103" spans="1:5" x14ac:dyDescent="0.35">
      <c r="A103" t="s">
        <v>221</v>
      </c>
      <c r="B103">
        <v>3</v>
      </c>
      <c r="C103">
        <v>0</v>
      </c>
      <c r="D103">
        <v>2</v>
      </c>
      <c r="E103">
        <v>1</v>
      </c>
    </row>
    <row r="104" spans="1:5" x14ac:dyDescent="0.35">
      <c r="A104" t="s">
        <v>223</v>
      </c>
      <c r="B104">
        <v>3</v>
      </c>
      <c r="C104">
        <v>0</v>
      </c>
      <c r="D104">
        <v>1</v>
      </c>
      <c r="E104">
        <v>0</v>
      </c>
    </row>
    <row r="105" spans="1:5" x14ac:dyDescent="0.35">
      <c r="A105" t="s">
        <v>225</v>
      </c>
      <c r="B105">
        <v>2</v>
      </c>
      <c r="C105">
        <v>1</v>
      </c>
      <c r="D105">
        <v>1</v>
      </c>
      <c r="E105">
        <v>1</v>
      </c>
    </row>
    <row r="106" spans="1:5" x14ac:dyDescent="0.35">
      <c r="A106" t="s">
        <v>226</v>
      </c>
      <c r="B106">
        <v>3</v>
      </c>
      <c r="C106">
        <v>2</v>
      </c>
      <c r="D106">
        <v>1</v>
      </c>
      <c r="E106">
        <v>1</v>
      </c>
    </row>
    <row r="107" spans="1:5" x14ac:dyDescent="0.35">
      <c r="A107" t="s">
        <v>228</v>
      </c>
      <c r="B107">
        <v>4</v>
      </c>
      <c r="C107">
        <v>3</v>
      </c>
      <c r="D107">
        <v>2</v>
      </c>
      <c r="E107">
        <v>2</v>
      </c>
    </row>
    <row r="108" spans="1:5" x14ac:dyDescent="0.35">
      <c r="A108" t="s">
        <v>230</v>
      </c>
      <c r="B108">
        <v>5</v>
      </c>
      <c r="C108">
        <v>1</v>
      </c>
      <c r="D108">
        <v>1</v>
      </c>
      <c r="E108">
        <v>3</v>
      </c>
    </row>
    <row r="109" spans="1:5" x14ac:dyDescent="0.35">
      <c r="A109" t="s">
        <v>232</v>
      </c>
      <c r="B109">
        <v>2</v>
      </c>
      <c r="C109">
        <v>3</v>
      </c>
      <c r="D109">
        <v>1</v>
      </c>
      <c r="E109">
        <v>1</v>
      </c>
    </row>
    <row r="110" spans="1:5" x14ac:dyDescent="0.35">
      <c r="A110" t="s">
        <v>234</v>
      </c>
      <c r="B110">
        <v>1</v>
      </c>
      <c r="C110">
        <v>3</v>
      </c>
      <c r="D110">
        <v>3</v>
      </c>
      <c r="E110">
        <v>0</v>
      </c>
    </row>
    <row r="111" spans="1:5" x14ac:dyDescent="0.35">
      <c r="A111" t="s">
        <v>235</v>
      </c>
      <c r="B111">
        <v>2</v>
      </c>
      <c r="C111">
        <v>0</v>
      </c>
      <c r="D111">
        <v>1</v>
      </c>
      <c r="E111">
        <v>3</v>
      </c>
    </row>
    <row r="112" spans="1:5" x14ac:dyDescent="0.35">
      <c r="A112" t="s">
        <v>236</v>
      </c>
      <c r="B112">
        <v>4</v>
      </c>
      <c r="C112">
        <v>3</v>
      </c>
      <c r="D112">
        <v>2</v>
      </c>
      <c r="E112">
        <v>1</v>
      </c>
    </row>
    <row r="113" spans="1:5" x14ac:dyDescent="0.35">
      <c r="A113" t="s">
        <v>238</v>
      </c>
      <c r="B113">
        <v>3</v>
      </c>
      <c r="C113">
        <v>1</v>
      </c>
      <c r="D113">
        <v>1</v>
      </c>
      <c r="E113">
        <v>1</v>
      </c>
    </row>
    <row r="114" spans="1:5" x14ac:dyDescent="0.35">
      <c r="A114" t="s">
        <v>240</v>
      </c>
      <c r="B114">
        <v>6</v>
      </c>
      <c r="C114">
        <v>3</v>
      </c>
      <c r="D114">
        <v>2</v>
      </c>
      <c r="E114">
        <v>2</v>
      </c>
    </row>
    <row r="115" spans="1:5" x14ac:dyDescent="0.35">
      <c r="A115" t="s">
        <v>242</v>
      </c>
      <c r="B115">
        <v>2</v>
      </c>
      <c r="C115">
        <v>0</v>
      </c>
      <c r="D115">
        <v>3</v>
      </c>
      <c r="E115">
        <v>2</v>
      </c>
    </row>
    <row r="116" spans="1:5" x14ac:dyDescent="0.35">
      <c r="A116" t="s">
        <v>243</v>
      </c>
      <c r="B116">
        <v>6</v>
      </c>
      <c r="C116">
        <v>1</v>
      </c>
      <c r="D116">
        <v>2</v>
      </c>
      <c r="E116">
        <v>2</v>
      </c>
    </row>
    <row r="117" spans="1:5" x14ac:dyDescent="0.35">
      <c r="A117" t="s">
        <v>245</v>
      </c>
      <c r="B117">
        <v>5</v>
      </c>
      <c r="C117">
        <v>2</v>
      </c>
      <c r="D117">
        <v>0</v>
      </c>
      <c r="E117">
        <v>1</v>
      </c>
    </row>
    <row r="118" spans="1:5" x14ac:dyDescent="0.35">
      <c r="A118" t="s">
        <v>247</v>
      </c>
      <c r="B118">
        <v>4</v>
      </c>
      <c r="C118">
        <v>2</v>
      </c>
      <c r="D118">
        <v>1</v>
      </c>
      <c r="E118">
        <v>2</v>
      </c>
    </row>
    <row r="119" spans="1:5" x14ac:dyDescent="0.35">
      <c r="A119" t="s">
        <v>249</v>
      </c>
      <c r="B119">
        <v>4</v>
      </c>
      <c r="C119">
        <v>2</v>
      </c>
      <c r="D119">
        <v>0</v>
      </c>
      <c r="E119">
        <v>2</v>
      </c>
    </row>
    <row r="120" spans="1:5" x14ac:dyDescent="0.35">
      <c r="A120" t="s">
        <v>250</v>
      </c>
      <c r="B120">
        <v>2</v>
      </c>
      <c r="C120">
        <v>0</v>
      </c>
      <c r="D120">
        <v>2</v>
      </c>
      <c r="E120">
        <v>2</v>
      </c>
    </row>
    <row r="121" spans="1:5" x14ac:dyDescent="0.35">
      <c r="A121" t="s">
        <v>252</v>
      </c>
      <c r="B121">
        <v>4</v>
      </c>
      <c r="C121">
        <v>3</v>
      </c>
      <c r="D121">
        <v>0</v>
      </c>
      <c r="E121">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21"/>
  <sheetViews>
    <sheetView workbookViewId="0">
      <selection activeCell="K13" sqref="K13"/>
    </sheetView>
  </sheetViews>
  <sheetFormatPr defaultRowHeight="14.5" x14ac:dyDescent="0.35"/>
  <cols>
    <col min="1" max="1" width="12" customWidth="1"/>
    <col min="2" max="2" width="19" customWidth="1"/>
    <col min="3" max="3" width="22" customWidth="1"/>
    <col min="4" max="4" width="17" customWidth="1"/>
    <col min="5" max="5" width="12" customWidth="1"/>
    <col min="6" max="6" width="12" style="6" customWidth="1"/>
    <col min="7" max="7" width="22" customWidth="1"/>
  </cols>
  <sheetData>
    <row r="1" spans="1:7" x14ac:dyDescent="0.35">
      <c r="A1" t="s">
        <v>11</v>
      </c>
      <c r="B1" t="s">
        <v>258</v>
      </c>
      <c r="C1" t="s">
        <v>259</v>
      </c>
      <c r="D1" t="s">
        <v>260</v>
      </c>
      <c r="E1" t="s">
        <v>261</v>
      </c>
      <c r="F1" s="6" t="s">
        <v>262</v>
      </c>
      <c r="G1" t="s">
        <v>263</v>
      </c>
    </row>
    <row r="2" spans="1:7" x14ac:dyDescent="0.35">
      <c r="A2" t="s">
        <v>18</v>
      </c>
      <c r="B2" t="s">
        <v>29</v>
      </c>
      <c r="C2" t="s">
        <v>264</v>
      </c>
      <c r="D2" t="s">
        <v>265</v>
      </c>
      <c r="E2" t="s">
        <v>20</v>
      </c>
      <c r="F2" s="6">
        <v>34434</v>
      </c>
      <c r="G2">
        <v>2</v>
      </c>
    </row>
    <row r="3" spans="1:7" x14ac:dyDescent="0.35">
      <c r="A3" t="s">
        <v>23</v>
      </c>
      <c r="B3" t="s">
        <v>22</v>
      </c>
      <c r="C3" t="s">
        <v>266</v>
      </c>
      <c r="D3" t="s">
        <v>267</v>
      </c>
      <c r="E3" t="s">
        <v>267</v>
      </c>
    </row>
    <row r="4" spans="1:7" x14ac:dyDescent="0.35">
      <c r="A4" t="s">
        <v>26</v>
      </c>
      <c r="B4" t="s">
        <v>29</v>
      </c>
      <c r="C4" t="s">
        <v>264</v>
      </c>
      <c r="D4" t="s">
        <v>265</v>
      </c>
      <c r="E4" t="s">
        <v>268</v>
      </c>
      <c r="F4" s="6">
        <v>42873</v>
      </c>
      <c r="G4">
        <v>4</v>
      </c>
    </row>
    <row r="5" spans="1:7" x14ac:dyDescent="0.35">
      <c r="A5" t="s">
        <v>30</v>
      </c>
      <c r="B5" t="s">
        <v>22</v>
      </c>
      <c r="C5" t="s">
        <v>264</v>
      </c>
      <c r="D5" t="s">
        <v>269</v>
      </c>
      <c r="E5" t="s">
        <v>270</v>
      </c>
      <c r="F5" s="6">
        <v>53883</v>
      </c>
      <c r="G5">
        <v>3</v>
      </c>
    </row>
    <row r="6" spans="1:7" x14ac:dyDescent="0.35">
      <c r="A6" t="s">
        <v>32</v>
      </c>
      <c r="B6" t="s">
        <v>29</v>
      </c>
      <c r="C6" t="s">
        <v>264</v>
      </c>
      <c r="D6" t="s">
        <v>269</v>
      </c>
      <c r="E6" t="s">
        <v>271</v>
      </c>
      <c r="F6" s="6">
        <v>64304</v>
      </c>
      <c r="G6">
        <v>4</v>
      </c>
    </row>
    <row r="7" spans="1:7" x14ac:dyDescent="0.35">
      <c r="A7" t="s">
        <v>35</v>
      </c>
      <c r="B7" t="s">
        <v>22</v>
      </c>
      <c r="C7" t="s">
        <v>266</v>
      </c>
      <c r="D7" t="s">
        <v>267</v>
      </c>
      <c r="E7" t="s">
        <v>267</v>
      </c>
    </row>
    <row r="8" spans="1:7" x14ac:dyDescent="0.35">
      <c r="A8" t="s">
        <v>38</v>
      </c>
      <c r="B8" t="s">
        <v>22</v>
      </c>
      <c r="C8" t="s">
        <v>266</v>
      </c>
      <c r="D8" t="s">
        <v>267</v>
      </c>
      <c r="E8" t="s">
        <v>267</v>
      </c>
    </row>
    <row r="9" spans="1:7" x14ac:dyDescent="0.35">
      <c r="A9" t="s">
        <v>40</v>
      </c>
      <c r="B9" t="s">
        <v>22</v>
      </c>
      <c r="C9" t="s">
        <v>264</v>
      </c>
      <c r="D9" t="s">
        <v>269</v>
      </c>
      <c r="E9" t="s">
        <v>37</v>
      </c>
      <c r="F9" s="6">
        <v>53353</v>
      </c>
      <c r="G9">
        <v>2</v>
      </c>
    </row>
    <row r="10" spans="1:7" x14ac:dyDescent="0.35">
      <c r="A10" t="s">
        <v>43</v>
      </c>
      <c r="B10" t="s">
        <v>29</v>
      </c>
      <c r="C10" t="s">
        <v>264</v>
      </c>
      <c r="D10" t="s">
        <v>272</v>
      </c>
      <c r="E10" t="s">
        <v>268</v>
      </c>
      <c r="F10" s="6">
        <v>37985</v>
      </c>
      <c r="G10">
        <v>5</v>
      </c>
    </row>
    <row r="11" spans="1:7" x14ac:dyDescent="0.35">
      <c r="A11" t="s">
        <v>45</v>
      </c>
      <c r="B11" t="s">
        <v>29</v>
      </c>
      <c r="C11" t="s">
        <v>264</v>
      </c>
      <c r="D11" t="s">
        <v>272</v>
      </c>
      <c r="E11" t="s">
        <v>268</v>
      </c>
      <c r="F11" s="6">
        <v>35622</v>
      </c>
      <c r="G11">
        <v>5</v>
      </c>
    </row>
    <row r="12" spans="1:7" x14ac:dyDescent="0.35">
      <c r="A12" t="s">
        <v>47</v>
      </c>
      <c r="B12" t="s">
        <v>29</v>
      </c>
      <c r="C12" t="s">
        <v>264</v>
      </c>
      <c r="D12" t="s">
        <v>269</v>
      </c>
      <c r="E12" t="s">
        <v>37</v>
      </c>
      <c r="F12" s="6">
        <v>58812</v>
      </c>
      <c r="G12">
        <v>6</v>
      </c>
    </row>
    <row r="13" spans="1:7" x14ac:dyDescent="0.35">
      <c r="A13" t="s">
        <v>49</v>
      </c>
      <c r="B13" t="s">
        <v>29</v>
      </c>
      <c r="C13" t="s">
        <v>266</v>
      </c>
      <c r="D13" t="s">
        <v>267</v>
      </c>
      <c r="E13" t="s">
        <v>267</v>
      </c>
    </row>
    <row r="14" spans="1:7" x14ac:dyDescent="0.35">
      <c r="A14" t="s">
        <v>51</v>
      </c>
      <c r="B14" t="s">
        <v>22</v>
      </c>
      <c r="C14" t="s">
        <v>266</v>
      </c>
      <c r="D14" t="s">
        <v>267</v>
      </c>
      <c r="E14" t="s">
        <v>267</v>
      </c>
    </row>
    <row r="15" spans="1:7" x14ac:dyDescent="0.35">
      <c r="A15" t="s">
        <v>53</v>
      </c>
      <c r="B15" t="s">
        <v>22</v>
      </c>
      <c r="C15" t="s">
        <v>266</v>
      </c>
      <c r="D15" t="s">
        <v>267</v>
      </c>
      <c r="E15" t="s">
        <v>267</v>
      </c>
    </row>
    <row r="16" spans="1:7" x14ac:dyDescent="0.35">
      <c r="A16" t="s">
        <v>56</v>
      </c>
      <c r="B16" t="s">
        <v>29</v>
      </c>
      <c r="C16" t="s">
        <v>273</v>
      </c>
      <c r="D16" t="s">
        <v>267</v>
      </c>
      <c r="E16" t="s">
        <v>267</v>
      </c>
    </row>
    <row r="17" spans="1:7" x14ac:dyDescent="0.35">
      <c r="A17" t="s">
        <v>58</v>
      </c>
      <c r="B17" t="s">
        <v>29</v>
      </c>
      <c r="C17" t="s">
        <v>264</v>
      </c>
      <c r="D17" t="s">
        <v>269</v>
      </c>
      <c r="E17" t="s">
        <v>268</v>
      </c>
      <c r="F17" s="6">
        <v>74742</v>
      </c>
      <c r="G17">
        <v>1</v>
      </c>
    </row>
    <row r="18" spans="1:7" x14ac:dyDescent="0.35">
      <c r="A18" t="s">
        <v>60</v>
      </c>
      <c r="B18" t="s">
        <v>29</v>
      </c>
      <c r="C18" t="s">
        <v>266</v>
      </c>
      <c r="D18" t="s">
        <v>267</v>
      </c>
      <c r="E18" t="s">
        <v>267</v>
      </c>
    </row>
    <row r="19" spans="1:7" x14ac:dyDescent="0.35">
      <c r="A19" t="s">
        <v>62</v>
      </c>
      <c r="B19" t="s">
        <v>22</v>
      </c>
      <c r="C19" t="s">
        <v>264</v>
      </c>
      <c r="D19" t="s">
        <v>269</v>
      </c>
      <c r="E19" t="s">
        <v>37</v>
      </c>
      <c r="F19" s="6">
        <v>62138</v>
      </c>
      <c r="G19">
        <v>4</v>
      </c>
    </row>
    <row r="20" spans="1:7" x14ac:dyDescent="0.35">
      <c r="A20" t="s">
        <v>64</v>
      </c>
      <c r="B20" t="s">
        <v>29</v>
      </c>
      <c r="C20" t="s">
        <v>264</v>
      </c>
      <c r="D20" t="s">
        <v>269</v>
      </c>
      <c r="E20" t="s">
        <v>274</v>
      </c>
      <c r="F20" s="6">
        <v>69158</v>
      </c>
      <c r="G20">
        <v>4</v>
      </c>
    </row>
    <row r="21" spans="1:7" x14ac:dyDescent="0.35">
      <c r="A21" t="s">
        <v>66</v>
      </c>
      <c r="B21" t="s">
        <v>29</v>
      </c>
      <c r="C21" t="s">
        <v>264</v>
      </c>
      <c r="D21" t="s">
        <v>265</v>
      </c>
      <c r="E21" t="s">
        <v>268</v>
      </c>
      <c r="F21" s="6">
        <v>35830</v>
      </c>
      <c r="G21">
        <v>2</v>
      </c>
    </row>
    <row r="22" spans="1:7" x14ac:dyDescent="0.35">
      <c r="A22" t="s">
        <v>68</v>
      </c>
      <c r="B22" t="s">
        <v>22</v>
      </c>
      <c r="C22" t="s">
        <v>266</v>
      </c>
      <c r="D22" t="s">
        <v>267</v>
      </c>
      <c r="E22" t="s">
        <v>267</v>
      </c>
    </row>
    <row r="23" spans="1:7" x14ac:dyDescent="0.35">
      <c r="A23" t="s">
        <v>70</v>
      </c>
      <c r="B23" t="s">
        <v>29</v>
      </c>
      <c r="C23" t="s">
        <v>264</v>
      </c>
      <c r="D23" t="s">
        <v>269</v>
      </c>
      <c r="E23" t="s">
        <v>268</v>
      </c>
      <c r="F23" s="6">
        <v>78247</v>
      </c>
      <c r="G23">
        <v>1</v>
      </c>
    </row>
    <row r="24" spans="1:7" x14ac:dyDescent="0.35">
      <c r="A24" t="s">
        <v>72</v>
      </c>
      <c r="B24" t="s">
        <v>29</v>
      </c>
      <c r="C24" t="s">
        <v>266</v>
      </c>
      <c r="D24" t="s">
        <v>267</v>
      </c>
      <c r="E24" t="s">
        <v>267</v>
      </c>
    </row>
    <row r="25" spans="1:7" x14ac:dyDescent="0.35">
      <c r="A25" t="s">
        <v>74</v>
      </c>
      <c r="B25" t="s">
        <v>29</v>
      </c>
      <c r="C25" t="s">
        <v>266</v>
      </c>
      <c r="D25" t="s">
        <v>267</v>
      </c>
      <c r="E25" t="s">
        <v>267</v>
      </c>
    </row>
    <row r="26" spans="1:7" x14ac:dyDescent="0.35">
      <c r="A26" t="s">
        <v>76</v>
      </c>
      <c r="B26" t="s">
        <v>22</v>
      </c>
      <c r="C26" t="s">
        <v>264</v>
      </c>
      <c r="D26" t="s">
        <v>269</v>
      </c>
      <c r="E26" t="s">
        <v>20</v>
      </c>
      <c r="F26" s="6">
        <v>67566</v>
      </c>
      <c r="G26">
        <v>1</v>
      </c>
    </row>
    <row r="27" spans="1:7" x14ac:dyDescent="0.35">
      <c r="A27" t="s">
        <v>77</v>
      </c>
      <c r="B27" t="s">
        <v>29</v>
      </c>
      <c r="C27" t="s">
        <v>264</v>
      </c>
      <c r="D27" t="s">
        <v>265</v>
      </c>
      <c r="E27" t="s">
        <v>268</v>
      </c>
      <c r="F27" s="6">
        <v>37464</v>
      </c>
      <c r="G27">
        <v>2</v>
      </c>
    </row>
    <row r="28" spans="1:7" x14ac:dyDescent="0.35">
      <c r="A28" t="s">
        <v>79</v>
      </c>
      <c r="B28" t="s">
        <v>29</v>
      </c>
      <c r="C28" t="s">
        <v>264</v>
      </c>
      <c r="D28" t="s">
        <v>269</v>
      </c>
      <c r="E28" t="s">
        <v>20</v>
      </c>
      <c r="F28" s="6">
        <v>75574</v>
      </c>
      <c r="G28">
        <v>1</v>
      </c>
    </row>
    <row r="29" spans="1:7" x14ac:dyDescent="0.35">
      <c r="A29" t="s">
        <v>81</v>
      </c>
      <c r="B29" t="s">
        <v>29</v>
      </c>
      <c r="C29" t="s">
        <v>264</v>
      </c>
      <c r="D29" t="s">
        <v>272</v>
      </c>
      <c r="E29" t="s">
        <v>268</v>
      </c>
      <c r="F29" s="6">
        <v>31898</v>
      </c>
      <c r="G29">
        <v>3</v>
      </c>
    </row>
    <row r="30" spans="1:7" x14ac:dyDescent="0.35">
      <c r="A30" t="s">
        <v>83</v>
      </c>
      <c r="B30" t="s">
        <v>29</v>
      </c>
      <c r="C30" t="s">
        <v>264</v>
      </c>
      <c r="D30" t="s">
        <v>269</v>
      </c>
      <c r="E30" t="s">
        <v>274</v>
      </c>
      <c r="F30" s="6">
        <v>69705</v>
      </c>
      <c r="G30">
        <v>2</v>
      </c>
    </row>
    <row r="31" spans="1:7" x14ac:dyDescent="0.35">
      <c r="A31" t="s">
        <v>85</v>
      </c>
      <c r="B31" t="s">
        <v>29</v>
      </c>
      <c r="C31" t="s">
        <v>264</v>
      </c>
      <c r="D31" t="s">
        <v>269</v>
      </c>
      <c r="E31" t="s">
        <v>274</v>
      </c>
      <c r="F31" s="6">
        <v>74550</v>
      </c>
      <c r="G31">
        <v>2</v>
      </c>
    </row>
    <row r="32" spans="1:7" x14ac:dyDescent="0.35">
      <c r="A32" t="s">
        <v>87</v>
      </c>
      <c r="B32" t="s">
        <v>29</v>
      </c>
      <c r="C32" t="s">
        <v>264</v>
      </c>
      <c r="D32" t="s">
        <v>272</v>
      </c>
      <c r="E32" t="s">
        <v>274</v>
      </c>
      <c r="F32" s="6">
        <v>37590</v>
      </c>
      <c r="G32">
        <v>3</v>
      </c>
    </row>
    <row r="33" spans="1:7" x14ac:dyDescent="0.35">
      <c r="A33" t="s">
        <v>88</v>
      </c>
      <c r="B33" t="s">
        <v>29</v>
      </c>
      <c r="C33" t="s">
        <v>264</v>
      </c>
      <c r="D33" t="s">
        <v>265</v>
      </c>
      <c r="E33" t="s">
        <v>271</v>
      </c>
      <c r="F33" s="6">
        <v>44598</v>
      </c>
      <c r="G33">
        <v>3</v>
      </c>
    </row>
    <row r="34" spans="1:7" x14ac:dyDescent="0.35">
      <c r="A34" t="s">
        <v>90</v>
      </c>
      <c r="B34" t="s">
        <v>22</v>
      </c>
      <c r="C34" t="s">
        <v>264</v>
      </c>
      <c r="D34" t="s">
        <v>269</v>
      </c>
      <c r="E34" t="s">
        <v>268</v>
      </c>
      <c r="F34" s="6">
        <v>75889</v>
      </c>
      <c r="G34">
        <v>3</v>
      </c>
    </row>
    <row r="35" spans="1:7" x14ac:dyDescent="0.35">
      <c r="A35" t="s">
        <v>92</v>
      </c>
      <c r="B35" t="s">
        <v>22</v>
      </c>
      <c r="C35" t="s">
        <v>264</v>
      </c>
      <c r="D35" t="s">
        <v>269</v>
      </c>
      <c r="E35" t="s">
        <v>271</v>
      </c>
      <c r="F35" s="6">
        <v>60230</v>
      </c>
      <c r="G35">
        <v>3</v>
      </c>
    </row>
    <row r="36" spans="1:7" x14ac:dyDescent="0.35">
      <c r="A36" t="s">
        <v>94</v>
      </c>
      <c r="B36" t="s">
        <v>29</v>
      </c>
      <c r="C36" t="s">
        <v>264</v>
      </c>
      <c r="D36" t="s">
        <v>265</v>
      </c>
      <c r="E36" t="s">
        <v>271</v>
      </c>
      <c r="F36" s="6">
        <v>47866</v>
      </c>
      <c r="G36">
        <v>2</v>
      </c>
    </row>
    <row r="37" spans="1:7" x14ac:dyDescent="0.35">
      <c r="A37" t="s">
        <v>96</v>
      </c>
      <c r="B37" t="s">
        <v>29</v>
      </c>
      <c r="C37" t="s">
        <v>266</v>
      </c>
      <c r="D37" t="s">
        <v>267</v>
      </c>
      <c r="E37" t="s">
        <v>267</v>
      </c>
    </row>
    <row r="38" spans="1:7" x14ac:dyDescent="0.35">
      <c r="A38" t="s">
        <v>98</v>
      </c>
      <c r="B38" t="s">
        <v>29</v>
      </c>
      <c r="C38" t="s">
        <v>264</v>
      </c>
      <c r="D38" t="s">
        <v>269</v>
      </c>
      <c r="E38" t="s">
        <v>274</v>
      </c>
      <c r="F38" s="6">
        <v>74850</v>
      </c>
      <c r="G38">
        <v>1</v>
      </c>
    </row>
    <row r="39" spans="1:7" x14ac:dyDescent="0.35">
      <c r="A39" t="s">
        <v>100</v>
      </c>
      <c r="B39" t="s">
        <v>29</v>
      </c>
      <c r="C39" t="s">
        <v>264</v>
      </c>
      <c r="D39" t="s">
        <v>269</v>
      </c>
      <c r="E39" t="s">
        <v>275</v>
      </c>
      <c r="F39" s="6">
        <v>61767</v>
      </c>
      <c r="G39">
        <v>3</v>
      </c>
    </row>
    <row r="40" spans="1:7" x14ac:dyDescent="0.35">
      <c r="A40" t="s">
        <v>102</v>
      </c>
      <c r="B40" t="s">
        <v>29</v>
      </c>
      <c r="C40" t="s">
        <v>264</v>
      </c>
      <c r="D40" t="s">
        <v>269</v>
      </c>
      <c r="E40" t="s">
        <v>268</v>
      </c>
      <c r="F40" s="6">
        <v>76363</v>
      </c>
      <c r="G40">
        <v>4</v>
      </c>
    </row>
    <row r="41" spans="1:7" x14ac:dyDescent="0.35">
      <c r="A41" t="s">
        <v>104</v>
      </c>
      <c r="B41" t="s">
        <v>29</v>
      </c>
      <c r="C41" t="s">
        <v>273</v>
      </c>
      <c r="D41" t="s">
        <v>267</v>
      </c>
      <c r="E41" t="s">
        <v>267</v>
      </c>
    </row>
    <row r="42" spans="1:7" x14ac:dyDescent="0.35">
      <c r="A42" t="s">
        <v>106</v>
      </c>
      <c r="B42" t="s">
        <v>29</v>
      </c>
      <c r="C42" t="s">
        <v>266</v>
      </c>
      <c r="D42" t="s">
        <v>267</v>
      </c>
      <c r="E42" t="s">
        <v>267</v>
      </c>
    </row>
    <row r="43" spans="1:7" x14ac:dyDescent="0.35">
      <c r="A43" t="s">
        <v>108</v>
      </c>
      <c r="B43" t="s">
        <v>29</v>
      </c>
      <c r="C43" t="s">
        <v>264</v>
      </c>
      <c r="D43" t="s">
        <v>272</v>
      </c>
      <c r="E43" t="s">
        <v>268</v>
      </c>
      <c r="F43" s="6">
        <v>37819</v>
      </c>
      <c r="G43">
        <v>1</v>
      </c>
    </row>
    <row r="44" spans="1:7" x14ac:dyDescent="0.35">
      <c r="A44" t="s">
        <v>110</v>
      </c>
      <c r="B44" t="s">
        <v>29</v>
      </c>
      <c r="C44" t="s">
        <v>264</v>
      </c>
      <c r="D44" t="s">
        <v>269</v>
      </c>
      <c r="E44" t="s">
        <v>20</v>
      </c>
      <c r="F44" s="6">
        <v>75305</v>
      </c>
      <c r="G44">
        <v>3</v>
      </c>
    </row>
    <row r="45" spans="1:7" x14ac:dyDescent="0.35">
      <c r="A45" t="s">
        <v>112</v>
      </c>
      <c r="B45" t="s">
        <v>22</v>
      </c>
      <c r="C45" t="s">
        <v>264</v>
      </c>
      <c r="D45" t="s">
        <v>269</v>
      </c>
      <c r="E45" t="s">
        <v>37</v>
      </c>
      <c r="F45" s="6">
        <v>58429</v>
      </c>
      <c r="G45">
        <v>3</v>
      </c>
    </row>
    <row r="46" spans="1:7" x14ac:dyDescent="0.35">
      <c r="A46" t="s">
        <v>114</v>
      </c>
      <c r="B46" t="s">
        <v>29</v>
      </c>
      <c r="C46" t="s">
        <v>264</v>
      </c>
      <c r="D46" t="s">
        <v>269</v>
      </c>
      <c r="E46" t="s">
        <v>270</v>
      </c>
      <c r="F46" s="6">
        <v>55928</v>
      </c>
      <c r="G46">
        <v>1</v>
      </c>
    </row>
    <row r="47" spans="1:7" x14ac:dyDescent="0.35">
      <c r="A47" t="s">
        <v>116</v>
      </c>
      <c r="B47" t="s">
        <v>29</v>
      </c>
      <c r="C47" t="s">
        <v>264</v>
      </c>
      <c r="D47" t="s">
        <v>269</v>
      </c>
      <c r="E47" t="s">
        <v>20</v>
      </c>
      <c r="F47" s="6">
        <v>72633</v>
      </c>
      <c r="G47">
        <v>3</v>
      </c>
    </row>
    <row r="48" spans="1:7" x14ac:dyDescent="0.35">
      <c r="A48" t="s">
        <v>118</v>
      </c>
      <c r="B48" t="s">
        <v>22</v>
      </c>
      <c r="C48" t="s">
        <v>266</v>
      </c>
      <c r="D48" t="s">
        <v>267</v>
      </c>
      <c r="E48" t="s">
        <v>267</v>
      </c>
    </row>
    <row r="49" spans="1:7" x14ac:dyDescent="0.35">
      <c r="A49" t="s">
        <v>120</v>
      </c>
      <c r="B49" t="s">
        <v>29</v>
      </c>
      <c r="C49" t="s">
        <v>266</v>
      </c>
      <c r="D49" t="s">
        <v>267</v>
      </c>
      <c r="E49" t="s">
        <v>267</v>
      </c>
    </row>
    <row r="50" spans="1:7" x14ac:dyDescent="0.35">
      <c r="A50" t="s">
        <v>122</v>
      </c>
      <c r="B50" t="s">
        <v>29</v>
      </c>
      <c r="C50" t="s">
        <v>264</v>
      </c>
      <c r="D50" t="s">
        <v>265</v>
      </c>
      <c r="E50" t="s">
        <v>274</v>
      </c>
      <c r="F50" s="6">
        <v>42232</v>
      </c>
      <c r="G50">
        <v>2</v>
      </c>
    </row>
    <row r="51" spans="1:7" x14ac:dyDescent="0.35">
      <c r="A51" t="s">
        <v>123</v>
      </c>
      <c r="B51" t="s">
        <v>29</v>
      </c>
      <c r="C51" t="s">
        <v>264</v>
      </c>
      <c r="D51" t="s">
        <v>269</v>
      </c>
      <c r="E51" t="s">
        <v>268</v>
      </c>
      <c r="F51" s="6">
        <v>82604</v>
      </c>
      <c r="G51">
        <v>2</v>
      </c>
    </row>
    <row r="52" spans="1:7" x14ac:dyDescent="0.35">
      <c r="A52" t="s">
        <v>125</v>
      </c>
      <c r="B52" t="s">
        <v>29</v>
      </c>
      <c r="C52" t="s">
        <v>264</v>
      </c>
      <c r="D52" t="s">
        <v>269</v>
      </c>
      <c r="E52" t="s">
        <v>274</v>
      </c>
      <c r="F52" s="6">
        <v>64222</v>
      </c>
      <c r="G52">
        <v>2</v>
      </c>
    </row>
    <row r="53" spans="1:7" x14ac:dyDescent="0.35">
      <c r="A53" t="s">
        <v>127</v>
      </c>
      <c r="B53" t="s">
        <v>29</v>
      </c>
      <c r="C53" t="s">
        <v>264</v>
      </c>
      <c r="D53" t="s">
        <v>272</v>
      </c>
      <c r="E53" t="s">
        <v>37</v>
      </c>
      <c r="F53" s="6">
        <v>33626</v>
      </c>
      <c r="G53">
        <v>6</v>
      </c>
    </row>
    <row r="54" spans="1:7" x14ac:dyDescent="0.35">
      <c r="A54" t="s">
        <v>129</v>
      </c>
      <c r="B54" t="s">
        <v>22</v>
      </c>
      <c r="C54" t="s">
        <v>264</v>
      </c>
      <c r="D54" t="s">
        <v>269</v>
      </c>
      <c r="E54" t="s">
        <v>268</v>
      </c>
      <c r="F54" s="6">
        <v>71774</v>
      </c>
      <c r="G54">
        <v>2</v>
      </c>
    </row>
    <row r="55" spans="1:7" x14ac:dyDescent="0.35">
      <c r="A55" t="s">
        <v>131</v>
      </c>
      <c r="B55" t="s">
        <v>29</v>
      </c>
      <c r="C55" t="s">
        <v>264</v>
      </c>
      <c r="D55" t="s">
        <v>269</v>
      </c>
      <c r="E55" t="s">
        <v>274</v>
      </c>
      <c r="F55" s="6">
        <v>71544</v>
      </c>
      <c r="G55">
        <v>5</v>
      </c>
    </row>
    <row r="56" spans="1:7" x14ac:dyDescent="0.35">
      <c r="A56" t="s">
        <v>133</v>
      </c>
      <c r="B56" t="s">
        <v>22</v>
      </c>
      <c r="C56" t="s">
        <v>266</v>
      </c>
      <c r="D56" t="s">
        <v>267</v>
      </c>
      <c r="E56" t="s">
        <v>267</v>
      </c>
    </row>
    <row r="57" spans="1:7" x14ac:dyDescent="0.35">
      <c r="A57" t="s">
        <v>135</v>
      </c>
      <c r="B57" t="s">
        <v>29</v>
      </c>
      <c r="C57" t="s">
        <v>264</v>
      </c>
      <c r="D57" t="s">
        <v>269</v>
      </c>
      <c r="E57" t="s">
        <v>275</v>
      </c>
      <c r="F57" s="6">
        <v>63773</v>
      </c>
      <c r="G57">
        <v>1</v>
      </c>
    </row>
    <row r="58" spans="1:7" x14ac:dyDescent="0.35">
      <c r="A58" t="s">
        <v>137</v>
      </c>
      <c r="B58" t="s">
        <v>22</v>
      </c>
      <c r="C58" t="s">
        <v>264</v>
      </c>
      <c r="D58" t="s">
        <v>269</v>
      </c>
      <c r="E58" t="s">
        <v>268</v>
      </c>
      <c r="F58" s="6">
        <v>69253</v>
      </c>
      <c r="G58">
        <v>1</v>
      </c>
    </row>
    <row r="59" spans="1:7" x14ac:dyDescent="0.35">
      <c r="A59" t="s">
        <v>138</v>
      </c>
      <c r="B59" t="s">
        <v>29</v>
      </c>
      <c r="C59" t="s">
        <v>264</v>
      </c>
      <c r="D59" t="s">
        <v>265</v>
      </c>
      <c r="E59" t="s">
        <v>271</v>
      </c>
      <c r="F59" s="6">
        <v>41785</v>
      </c>
      <c r="G59">
        <v>2</v>
      </c>
    </row>
    <row r="60" spans="1:7" x14ac:dyDescent="0.35">
      <c r="A60" t="s">
        <v>140</v>
      </c>
      <c r="B60" t="s">
        <v>29</v>
      </c>
      <c r="C60" t="s">
        <v>264</v>
      </c>
      <c r="D60" t="s">
        <v>269</v>
      </c>
      <c r="E60" t="s">
        <v>268</v>
      </c>
      <c r="F60" s="6">
        <v>72947</v>
      </c>
      <c r="G60">
        <v>3</v>
      </c>
    </row>
    <row r="61" spans="1:7" x14ac:dyDescent="0.35">
      <c r="A61" t="s">
        <v>142</v>
      </c>
      <c r="B61" t="s">
        <v>22</v>
      </c>
      <c r="C61" t="s">
        <v>266</v>
      </c>
      <c r="D61" t="s">
        <v>267</v>
      </c>
      <c r="E61" t="s">
        <v>267</v>
      </c>
    </row>
    <row r="62" spans="1:7" x14ac:dyDescent="0.35">
      <c r="A62" t="s">
        <v>144</v>
      </c>
      <c r="B62" t="s">
        <v>29</v>
      </c>
      <c r="C62" t="s">
        <v>273</v>
      </c>
      <c r="D62" t="s">
        <v>267</v>
      </c>
      <c r="E62" t="s">
        <v>267</v>
      </c>
    </row>
    <row r="63" spans="1:7" x14ac:dyDescent="0.35">
      <c r="A63" t="s">
        <v>146</v>
      </c>
      <c r="B63" t="s">
        <v>29</v>
      </c>
      <c r="C63" t="s">
        <v>264</v>
      </c>
      <c r="D63" t="s">
        <v>269</v>
      </c>
      <c r="E63" t="s">
        <v>20</v>
      </c>
      <c r="F63" s="6">
        <v>71051</v>
      </c>
      <c r="G63">
        <v>3</v>
      </c>
    </row>
    <row r="64" spans="1:7" x14ac:dyDescent="0.35">
      <c r="A64" t="s">
        <v>148</v>
      </c>
      <c r="B64" t="s">
        <v>29</v>
      </c>
      <c r="C64" t="s">
        <v>264</v>
      </c>
      <c r="D64" t="s">
        <v>269</v>
      </c>
      <c r="E64" t="s">
        <v>20</v>
      </c>
      <c r="F64" s="6">
        <v>66867</v>
      </c>
      <c r="G64">
        <v>4</v>
      </c>
    </row>
    <row r="65" spans="1:7" x14ac:dyDescent="0.35">
      <c r="A65" t="s">
        <v>150</v>
      </c>
      <c r="B65" t="s">
        <v>29</v>
      </c>
      <c r="C65" t="s">
        <v>264</v>
      </c>
      <c r="D65" t="s">
        <v>272</v>
      </c>
      <c r="E65" t="s">
        <v>268</v>
      </c>
      <c r="F65" s="6">
        <v>33221</v>
      </c>
      <c r="G65">
        <v>5</v>
      </c>
    </row>
    <row r="66" spans="1:7" x14ac:dyDescent="0.35">
      <c r="A66" t="s">
        <v>152</v>
      </c>
      <c r="B66" t="s">
        <v>29</v>
      </c>
      <c r="C66" t="s">
        <v>266</v>
      </c>
      <c r="D66" t="s">
        <v>267</v>
      </c>
      <c r="E66" t="s">
        <v>267</v>
      </c>
    </row>
    <row r="67" spans="1:7" x14ac:dyDescent="0.35">
      <c r="A67" t="s">
        <v>154</v>
      </c>
      <c r="B67" t="s">
        <v>29</v>
      </c>
      <c r="C67" t="s">
        <v>264</v>
      </c>
      <c r="D67" t="s">
        <v>272</v>
      </c>
      <c r="E67" t="s">
        <v>275</v>
      </c>
      <c r="F67" s="6">
        <v>36991</v>
      </c>
      <c r="G67">
        <v>6</v>
      </c>
    </row>
    <row r="68" spans="1:7" x14ac:dyDescent="0.35">
      <c r="A68" t="s">
        <v>156</v>
      </c>
      <c r="B68" t="s">
        <v>29</v>
      </c>
      <c r="C68" t="s">
        <v>264</v>
      </c>
      <c r="D68" t="s">
        <v>269</v>
      </c>
      <c r="E68" t="s">
        <v>268</v>
      </c>
      <c r="F68" s="6">
        <v>80079</v>
      </c>
      <c r="G68">
        <v>3</v>
      </c>
    </row>
    <row r="69" spans="1:7" x14ac:dyDescent="0.35">
      <c r="A69" t="s">
        <v>158</v>
      </c>
      <c r="B69" t="s">
        <v>29</v>
      </c>
      <c r="C69" t="s">
        <v>264</v>
      </c>
      <c r="D69" t="s">
        <v>272</v>
      </c>
      <c r="E69" t="s">
        <v>20</v>
      </c>
      <c r="F69" s="6">
        <v>29402</v>
      </c>
      <c r="G69">
        <v>3</v>
      </c>
    </row>
    <row r="70" spans="1:7" x14ac:dyDescent="0.35">
      <c r="A70" t="s">
        <v>160</v>
      </c>
      <c r="B70" t="s">
        <v>29</v>
      </c>
      <c r="C70" t="s">
        <v>264</v>
      </c>
      <c r="D70" t="s">
        <v>269</v>
      </c>
      <c r="E70" t="s">
        <v>274</v>
      </c>
      <c r="F70" s="6">
        <v>71626</v>
      </c>
      <c r="G70">
        <v>2</v>
      </c>
    </row>
    <row r="71" spans="1:7" x14ac:dyDescent="0.35">
      <c r="A71" t="s">
        <v>162</v>
      </c>
      <c r="B71" t="s">
        <v>29</v>
      </c>
      <c r="C71" t="s">
        <v>273</v>
      </c>
      <c r="D71" t="s">
        <v>267</v>
      </c>
      <c r="E71" t="s">
        <v>267</v>
      </c>
    </row>
    <row r="72" spans="1:7" x14ac:dyDescent="0.35">
      <c r="A72" t="s">
        <v>164</v>
      </c>
      <c r="B72" t="s">
        <v>22</v>
      </c>
      <c r="C72" t="s">
        <v>264</v>
      </c>
      <c r="D72" t="s">
        <v>269</v>
      </c>
      <c r="E72" t="s">
        <v>20</v>
      </c>
      <c r="F72" s="6">
        <v>74989</v>
      </c>
      <c r="G72">
        <v>3</v>
      </c>
    </row>
    <row r="73" spans="1:7" x14ac:dyDescent="0.35">
      <c r="A73" t="s">
        <v>165</v>
      </c>
      <c r="B73" t="s">
        <v>29</v>
      </c>
      <c r="C73" t="s">
        <v>264</v>
      </c>
      <c r="D73" t="s">
        <v>272</v>
      </c>
      <c r="E73" t="s">
        <v>268</v>
      </c>
      <c r="F73" s="6">
        <v>33080</v>
      </c>
      <c r="G73">
        <v>2</v>
      </c>
    </row>
    <row r="74" spans="1:7" x14ac:dyDescent="0.35">
      <c r="A74" t="s">
        <v>167</v>
      </c>
      <c r="B74" t="s">
        <v>29</v>
      </c>
      <c r="C74" t="s">
        <v>264</v>
      </c>
      <c r="D74" t="s">
        <v>265</v>
      </c>
      <c r="E74" t="s">
        <v>20</v>
      </c>
      <c r="F74" s="6">
        <v>34039</v>
      </c>
      <c r="G74">
        <v>4</v>
      </c>
    </row>
    <row r="75" spans="1:7" x14ac:dyDescent="0.35">
      <c r="A75" t="s">
        <v>169</v>
      </c>
      <c r="B75" t="s">
        <v>29</v>
      </c>
      <c r="C75" t="s">
        <v>264</v>
      </c>
      <c r="D75" t="s">
        <v>269</v>
      </c>
      <c r="E75" t="s">
        <v>275</v>
      </c>
      <c r="F75" s="6">
        <v>61128</v>
      </c>
      <c r="G75">
        <v>4</v>
      </c>
    </row>
    <row r="76" spans="1:7" x14ac:dyDescent="0.35">
      <c r="A76" t="s">
        <v>171</v>
      </c>
      <c r="B76" t="s">
        <v>22</v>
      </c>
      <c r="C76" t="s">
        <v>264</v>
      </c>
      <c r="D76" t="s">
        <v>269</v>
      </c>
      <c r="E76" t="s">
        <v>270</v>
      </c>
      <c r="F76" s="6">
        <v>55940</v>
      </c>
      <c r="G76">
        <v>2</v>
      </c>
    </row>
    <row r="77" spans="1:7" x14ac:dyDescent="0.35">
      <c r="A77" t="s">
        <v>173</v>
      </c>
      <c r="B77" t="s">
        <v>22</v>
      </c>
      <c r="C77" t="s">
        <v>266</v>
      </c>
      <c r="D77" t="s">
        <v>267</v>
      </c>
      <c r="E77" t="s">
        <v>267</v>
      </c>
    </row>
    <row r="78" spans="1:7" x14ac:dyDescent="0.35">
      <c r="A78" t="s">
        <v>174</v>
      </c>
      <c r="B78" t="s">
        <v>29</v>
      </c>
      <c r="C78" t="s">
        <v>266</v>
      </c>
      <c r="D78" t="s">
        <v>267</v>
      </c>
      <c r="E78" t="s">
        <v>267</v>
      </c>
    </row>
    <row r="79" spans="1:7" x14ac:dyDescent="0.35">
      <c r="A79" t="s">
        <v>176</v>
      </c>
      <c r="B79" t="s">
        <v>29</v>
      </c>
      <c r="C79" t="s">
        <v>266</v>
      </c>
      <c r="D79" t="s">
        <v>267</v>
      </c>
      <c r="E79" t="s">
        <v>267</v>
      </c>
    </row>
    <row r="80" spans="1:7" x14ac:dyDescent="0.35">
      <c r="A80" t="s">
        <v>178</v>
      </c>
      <c r="B80" t="s">
        <v>29</v>
      </c>
      <c r="C80" t="s">
        <v>264</v>
      </c>
      <c r="D80" t="s">
        <v>269</v>
      </c>
      <c r="E80" t="s">
        <v>268</v>
      </c>
      <c r="F80" s="6">
        <v>77511</v>
      </c>
      <c r="G80">
        <v>6</v>
      </c>
    </row>
    <row r="81" spans="1:7" x14ac:dyDescent="0.35">
      <c r="A81" t="s">
        <v>180</v>
      </c>
      <c r="B81" t="s">
        <v>29</v>
      </c>
      <c r="C81" t="s">
        <v>266</v>
      </c>
      <c r="D81" t="s">
        <v>267</v>
      </c>
      <c r="E81" t="s">
        <v>267</v>
      </c>
    </row>
    <row r="82" spans="1:7" x14ac:dyDescent="0.35">
      <c r="A82" t="s">
        <v>182</v>
      </c>
      <c r="B82" t="s">
        <v>29</v>
      </c>
      <c r="C82" t="s">
        <v>264</v>
      </c>
      <c r="D82" t="s">
        <v>272</v>
      </c>
      <c r="E82" t="s">
        <v>274</v>
      </c>
      <c r="F82" s="6">
        <v>35311</v>
      </c>
      <c r="G82">
        <v>1</v>
      </c>
    </row>
    <row r="83" spans="1:7" x14ac:dyDescent="0.35">
      <c r="A83" t="s">
        <v>184</v>
      </c>
      <c r="B83" t="s">
        <v>29</v>
      </c>
      <c r="C83" t="s">
        <v>264</v>
      </c>
      <c r="D83" t="s">
        <v>272</v>
      </c>
      <c r="E83" t="s">
        <v>37</v>
      </c>
      <c r="F83" s="6">
        <v>29438</v>
      </c>
      <c r="G83">
        <v>4</v>
      </c>
    </row>
    <row r="84" spans="1:7" x14ac:dyDescent="0.35">
      <c r="A84" t="s">
        <v>186</v>
      </c>
      <c r="B84" t="s">
        <v>29</v>
      </c>
      <c r="C84" t="s">
        <v>264</v>
      </c>
      <c r="D84" t="s">
        <v>269</v>
      </c>
      <c r="E84" t="s">
        <v>37</v>
      </c>
      <c r="F84" s="6">
        <v>58051</v>
      </c>
      <c r="G84">
        <v>4</v>
      </c>
    </row>
    <row r="85" spans="1:7" x14ac:dyDescent="0.35">
      <c r="A85" t="s">
        <v>188</v>
      </c>
      <c r="B85" t="s">
        <v>22</v>
      </c>
      <c r="C85" t="s">
        <v>264</v>
      </c>
      <c r="D85" t="s">
        <v>269</v>
      </c>
      <c r="E85" t="s">
        <v>20</v>
      </c>
      <c r="F85" s="6">
        <v>73588</v>
      </c>
      <c r="G85">
        <v>1</v>
      </c>
    </row>
    <row r="86" spans="1:7" x14ac:dyDescent="0.35">
      <c r="A86" t="s">
        <v>190</v>
      </c>
      <c r="B86" t="s">
        <v>29</v>
      </c>
      <c r="C86" t="s">
        <v>264</v>
      </c>
      <c r="D86" t="s">
        <v>269</v>
      </c>
      <c r="E86" t="s">
        <v>20</v>
      </c>
      <c r="F86" s="6">
        <v>73323</v>
      </c>
      <c r="G86">
        <v>3</v>
      </c>
    </row>
    <row r="87" spans="1:7" x14ac:dyDescent="0.35">
      <c r="A87" t="s">
        <v>192</v>
      </c>
      <c r="B87" t="s">
        <v>22</v>
      </c>
      <c r="C87" t="s">
        <v>264</v>
      </c>
      <c r="D87" t="s">
        <v>269</v>
      </c>
      <c r="E87" t="s">
        <v>37</v>
      </c>
      <c r="F87" s="6">
        <v>63407</v>
      </c>
      <c r="G87">
        <v>2</v>
      </c>
    </row>
    <row r="88" spans="1:7" x14ac:dyDescent="0.35">
      <c r="A88" t="s">
        <v>193</v>
      </c>
      <c r="B88" t="s">
        <v>29</v>
      </c>
      <c r="C88" t="s">
        <v>266</v>
      </c>
      <c r="D88" t="s">
        <v>267</v>
      </c>
      <c r="E88" t="s">
        <v>267</v>
      </c>
    </row>
    <row r="89" spans="1:7" x14ac:dyDescent="0.35">
      <c r="A89" t="s">
        <v>194</v>
      </c>
      <c r="B89" t="s">
        <v>29</v>
      </c>
      <c r="C89" t="s">
        <v>264</v>
      </c>
      <c r="D89" t="s">
        <v>269</v>
      </c>
      <c r="E89" t="s">
        <v>275</v>
      </c>
      <c r="F89" s="6">
        <v>60049</v>
      </c>
      <c r="G89">
        <v>1</v>
      </c>
    </row>
    <row r="90" spans="1:7" x14ac:dyDescent="0.35">
      <c r="A90" t="s">
        <v>196</v>
      </c>
      <c r="B90" t="s">
        <v>22</v>
      </c>
      <c r="C90" t="s">
        <v>266</v>
      </c>
      <c r="D90" t="s">
        <v>267</v>
      </c>
      <c r="E90" t="s">
        <v>267</v>
      </c>
    </row>
    <row r="91" spans="1:7" x14ac:dyDescent="0.35">
      <c r="A91" t="s">
        <v>198</v>
      </c>
      <c r="B91" t="s">
        <v>29</v>
      </c>
      <c r="C91" t="s">
        <v>266</v>
      </c>
      <c r="D91" t="s">
        <v>267</v>
      </c>
      <c r="E91" t="s">
        <v>267</v>
      </c>
    </row>
    <row r="92" spans="1:7" x14ac:dyDescent="0.35">
      <c r="A92" t="s">
        <v>200</v>
      </c>
      <c r="B92" t="s">
        <v>29</v>
      </c>
      <c r="C92" t="s">
        <v>264</v>
      </c>
      <c r="D92" t="s">
        <v>269</v>
      </c>
      <c r="E92" t="s">
        <v>274</v>
      </c>
      <c r="F92" s="6">
        <v>74798</v>
      </c>
      <c r="G92">
        <v>2</v>
      </c>
    </row>
    <row r="93" spans="1:7" x14ac:dyDescent="0.35">
      <c r="A93" t="s">
        <v>201</v>
      </c>
      <c r="B93" t="s">
        <v>29</v>
      </c>
      <c r="C93" t="s">
        <v>264</v>
      </c>
      <c r="D93" t="s">
        <v>269</v>
      </c>
      <c r="E93" t="s">
        <v>274</v>
      </c>
      <c r="F93" s="6">
        <v>69310</v>
      </c>
      <c r="G93">
        <v>5</v>
      </c>
    </row>
    <row r="94" spans="1:7" x14ac:dyDescent="0.35">
      <c r="A94" t="s">
        <v>203</v>
      </c>
      <c r="B94" t="s">
        <v>29</v>
      </c>
      <c r="C94" t="s">
        <v>264</v>
      </c>
      <c r="D94" t="s">
        <v>272</v>
      </c>
      <c r="E94" t="s">
        <v>268</v>
      </c>
      <c r="F94" s="6">
        <v>30007</v>
      </c>
      <c r="G94">
        <v>2</v>
      </c>
    </row>
    <row r="95" spans="1:7" x14ac:dyDescent="0.35">
      <c r="A95" t="s">
        <v>205</v>
      </c>
      <c r="B95" t="s">
        <v>29</v>
      </c>
      <c r="C95" t="s">
        <v>264</v>
      </c>
      <c r="D95" t="s">
        <v>269</v>
      </c>
      <c r="E95" t="s">
        <v>20</v>
      </c>
      <c r="F95" s="6">
        <v>75204</v>
      </c>
      <c r="G95">
        <v>4</v>
      </c>
    </row>
    <row r="96" spans="1:7" x14ac:dyDescent="0.35">
      <c r="A96" t="s">
        <v>207</v>
      </c>
      <c r="B96" t="s">
        <v>22</v>
      </c>
      <c r="C96" t="s">
        <v>264</v>
      </c>
      <c r="D96" t="s">
        <v>269</v>
      </c>
      <c r="E96" t="s">
        <v>20</v>
      </c>
      <c r="F96" s="6">
        <v>74071</v>
      </c>
      <c r="G96">
        <v>6</v>
      </c>
    </row>
    <row r="97" spans="1:7" x14ac:dyDescent="0.35">
      <c r="A97" t="s">
        <v>209</v>
      </c>
      <c r="B97" t="s">
        <v>22</v>
      </c>
      <c r="C97" t="s">
        <v>264</v>
      </c>
      <c r="D97" t="s">
        <v>269</v>
      </c>
      <c r="E97" t="s">
        <v>274</v>
      </c>
      <c r="F97" s="6">
        <v>66440</v>
      </c>
      <c r="G97">
        <v>2</v>
      </c>
    </row>
    <row r="98" spans="1:7" x14ac:dyDescent="0.35">
      <c r="A98" t="s">
        <v>211</v>
      </c>
      <c r="B98" t="s">
        <v>29</v>
      </c>
      <c r="C98" t="s">
        <v>264</v>
      </c>
      <c r="D98" t="s">
        <v>272</v>
      </c>
      <c r="E98" t="s">
        <v>274</v>
      </c>
      <c r="F98" s="6">
        <v>29204</v>
      </c>
      <c r="G98">
        <v>2</v>
      </c>
    </row>
    <row r="99" spans="1:7" x14ac:dyDescent="0.35">
      <c r="A99" t="s">
        <v>213</v>
      </c>
      <c r="B99" t="s">
        <v>29</v>
      </c>
      <c r="C99" t="s">
        <v>264</v>
      </c>
      <c r="D99" t="s">
        <v>272</v>
      </c>
      <c r="E99" t="s">
        <v>268</v>
      </c>
      <c r="F99" s="6">
        <v>33555</v>
      </c>
      <c r="G99">
        <v>3</v>
      </c>
    </row>
    <row r="100" spans="1:7" x14ac:dyDescent="0.35">
      <c r="A100" t="s">
        <v>215</v>
      </c>
      <c r="B100" t="s">
        <v>29</v>
      </c>
      <c r="C100" t="s">
        <v>264</v>
      </c>
      <c r="D100" t="s">
        <v>269</v>
      </c>
      <c r="E100" t="s">
        <v>274</v>
      </c>
      <c r="F100" s="6">
        <v>67959</v>
      </c>
      <c r="G100">
        <v>3</v>
      </c>
    </row>
    <row r="101" spans="1:7" x14ac:dyDescent="0.35">
      <c r="A101" t="s">
        <v>217</v>
      </c>
      <c r="B101" t="s">
        <v>22</v>
      </c>
      <c r="C101" t="s">
        <v>266</v>
      </c>
      <c r="D101" t="s">
        <v>267</v>
      </c>
      <c r="E101" t="s">
        <v>267</v>
      </c>
    </row>
    <row r="102" spans="1:7" x14ac:dyDescent="0.35">
      <c r="A102" t="s">
        <v>219</v>
      </c>
      <c r="B102" t="s">
        <v>29</v>
      </c>
      <c r="C102" t="s">
        <v>264</v>
      </c>
      <c r="D102" t="s">
        <v>269</v>
      </c>
      <c r="E102" t="s">
        <v>271</v>
      </c>
      <c r="F102" s="6">
        <v>66733</v>
      </c>
      <c r="G102">
        <v>3</v>
      </c>
    </row>
    <row r="103" spans="1:7" x14ac:dyDescent="0.35">
      <c r="A103" t="s">
        <v>221</v>
      </c>
      <c r="B103" t="s">
        <v>29</v>
      </c>
      <c r="C103" t="s">
        <v>266</v>
      </c>
      <c r="D103" t="s">
        <v>267</v>
      </c>
      <c r="E103" t="s">
        <v>267</v>
      </c>
    </row>
    <row r="104" spans="1:7" x14ac:dyDescent="0.35">
      <c r="A104" t="s">
        <v>223</v>
      </c>
      <c r="B104" t="s">
        <v>22</v>
      </c>
      <c r="C104" t="s">
        <v>264</v>
      </c>
      <c r="D104" t="s">
        <v>269</v>
      </c>
      <c r="E104" t="s">
        <v>274</v>
      </c>
      <c r="F104" s="6">
        <v>67059</v>
      </c>
      <c r="G104">
        <v>1</v>
      </c>
    </row>
    <row r="105" spans="1:7" x14ac:dyDescent="0.35">
      <c r="A105" t="s">
        <v>225</v>
      </c>
      <c r="B105" t="s">
        <v>29</v>
      </c>
      <c r="C105" t="s">
        <v>264</v>
      </c>
      <c r="D105" t="s">
        <v>272</v>
      </c>
      <c r="E105" t="s">
        <v>270</v>
      </c>
      <c r="F105" s="6">
        <v>34723</v>
      </c>
      <c r="G105">
        <v>2</v>
      </c>
    </row>
    <row r="106" spans="1:7" x14ac:dyDescent="0.35">
      <c r="A106" t="s">
        <v>226</v>
      </c>
      <c r="B106" t="s">
        <v>22</v>
      </c>
      <c r="C106" t="s">
        <v>264</v>
      </c>
      <c r="D106" t="s">
        <v>269</v>
      </c>
      <c r="E106" t="s">
        <v>37</v>
      </c>
      <c r="F106" s="6">
        <v>64566</v>
      </c>
      <c r="G106">
        <v>3</v>
      </c>
    </row>
    <row r="107" spans="1:7" x14ac:dyDescent="0.35">
      <c r="A107" t="s">
        <v>228</v>
      </c>
      <c r="B107" t="s">
        <v>29</v>
      </c>
      <c r="C107" t="s">
        <v>264</v>
      </c>
      <c r="D107" t="s">
        <v>269</v>
      </c>
      <c r="E107" t="s">
        <v>274</v>
      </c>
      <c r="F107" s="6">
        <v>80124</v>
      </c>
      <c r="G107">
        <v>2</v>
      </c>
    </row>
    <row r="108" spans="1:7" x14ac:dyDescent="0.35">
      <c r="A108" t="s">
        <v>230</v>
      </c>
      <c r="B108" t="s">
        <v>22</v>
      </c>
      <c r="C108" t="s">
        <v>264</v>
      </c>
      <c r="D108" t="s">
        <v>269</v>
      </c>
      <c r="E108" t="s">
        <v>274</v>
      </c>
      <c r="F108" s="6">
        <v>74920</v>
      </c>
      <c r="G108">
        <v>2</v>
      </c>
    </row>
    <row r="109" spans="1:7" x14ac:dyDescent="0.35">
      <c r="A109" t="s">
        <v>232</v>
      </c>
      <c r="B109" t="s">
        <v>29</v>
      </c>
      <c r="C109" t="s">
        <v>266</v>
      </c>
      <c r="D109" t="s">
        <v>267</v>
      </c>
      <c r="E109" t="s">
        <v>267</v>
      </c>
    </row>
    <row r="110" spans="1:7" x14ac:dyDescent="0.35">
      <c r="A110" t="s">
        <v>234</v>
      </c>
      <c r="B110" t="s">
        <v>22</v>
      </c>
      <c r="C110" t="s">
        <v>264</v>
      </c>
      <c r="D110" t="s">
        <v>269</v>
      </c>
      <c r="E110" t="s">
        <v>274</v>
      </c>
      <c r="F110" s="6">
        <v>71543</v>
      </c>
      <c r="G110">
        <v>5</v>
      </c>
    </row>
    <row r="111" spans="1:7" x14ac:dyDescent="0.35">
      <c r="A111" t="s">
        <v>235</v>
      </c>
      <c r="B111" t="s">
        <v>29</v>
      </c>
      <c r="C111" t="s">
        <v>273</v>
      </c>
      <c r="D111" t="s">
        <v>267</v>
      </c>
      <c r="E111" t="s">
        <v>267</v>
      </c>
    </row>
    <row r="112" spans="1:7" x14ac:dyDescent="0.35">
      <c r="A112" t="s">
        <v>236</v>
      </c>
      <c r="B112" t="s">
        <v>29</v>
      </c>
      <c r="C112" t="s">
        <v>273</v>
      </c>
      <c r="D112" t="s">
        <v>267</v>
      </c>
      <c r="E112" t="s">
        <v>267</v>
      </c>
    </row>
    <row r="113" spans="1:7" x14ac:dyDescent="0.35">
      <c r="A113" t="s">
        <v>238</v>
      </c>
      <c r="B113" t="s">
        <v>29</v>
      </c>
      <c r="C113" t="s">
        <v>266</v>
      </c>
      <c r="D113" t="s">
        <v>267</v>
      </c>
      <c r="E113" t="s">
        <v>267</v>
      </c>
    </row>
    <row r="114" spans="1:7" x14ac:dyDescent="0.35">
      <c r="A114" t="s">
        <v>240</v>
      </c>
      <c r="B114" t="s">
        <v>29</v>
      </c>
      <c r="C114" t="s">
        <v>264</v>
      </c>
      <c r="D114" t="s">
        <v>269</v>
      </c>
      <c r="E114" t="s">
        <v>270</v>
      </c>
      <c r="F114" s="6">
        <v>56525</v>
      </c>
      <c r="G114">
        <v>2</v>
      </c>
    </row>
    <row r="115" spans="1:7" x14ac:dyDescent="0.35">
      <c r="A115" t="s">
        <v>242</v>
      </c>
      <c r="B115" t="s">
        <v>29</v>
      </c>
      <c r="C115" t="s">
        <v>273</v>
      </c>
      <c r="D115" t="s">
        <v>267</v>
      </c>
      <c r="E115" t="s">
        <v>267</v>
      </c>
    </row>
    <row r="116" spans="1:7" x14ac:dyDescent="0.35">
      <c r="A116" t="s">
        <v>243</v>
      </c>
      <c r="B116" t="s">
        <v>29</v>
      </c>
      <c r="C116" t="s">
        <v>273</v>
      </c>
      <c r="D116" t="s">
        <v>267</v>
      </c>
      <c r="E116" t="s">
        <v>267</v>
      </c>
    </row>
    <row r="117" spans="1:7" x14ac:dyDescent="0.35">
      <c r="A117" t="s">
        <v>245</v>
      </c>
      <c r="B117" t="s">
        <v>22</v>
      </c>
      <c r="C117" t="s">
        <v>266</v>
      </c>
      <c r="D117" t="s">
        <v>267</v>
      </c>
      <c r="E117" t="s">
        <v>267</v>
      </c>
    </row>
    <row r="118" spans="1:7" x14ac:dyDescent="0.35">
      <c r="A118" t="s">
        <v>247</v>
      </c>
      <c r="B118" t="s">
        <v>22</v>
      </c>
      <c r="C118" t="s">
        <v>264</v>
      </c>
      <c r="D118" t="s">
        <v>265</v>
      </c>
      <c r="E118" t="s">
        <v>274</v>
      </c>
      <c r="F118" s="6">
        <v>40092</v>
      </c>
      <c r="G118">
        <v>5</v>
      </c>
    </row>
    <row r="119" spans="1:7" x14ac:dyDescent="0.35">
      <c r="A119" t="s">
        <v>249</v>
      </c>
      <c r="B119" t="s">
        <v>29</v>
      </c>
      <c r="C119" t="s">
        <v>273</v>
      </c>
      <c r="D119" t="s">
        <v>267</v>
      </c>
      <c r="E119" t="s">
        <v>267</v>
      </c>
    </row>
    <row r="120" spans="1:7" x14ac:dyDescent="0.35">
      <c r="A120" t="s">
        <v>250</v>
      </c>
      <c r="B120" t="s">
        <v>29</v>
      </c>
      <c r="C120" t="s">
        <v>273</v>
      </c>
      <c r="D120" t="s">
        <v>267</v>
      </c>
      <c r="E120" t="s">
        <v>267</v>
      </c>
    </row>
    <row r="121" spans="1:7" x14ac:dyDescent="0.35">
      <c r="A121" t="s">
        <v>252</v>
      </c>
      <c r="B121" t="s">
        <v>29</v>
      </c>
      <c r="C121" t="s">
        <v>264</v>
      </c>
      <c r="D121" t="s">
        <v>269</v>
      </c>
      <c r="E121" t="s">
        <v>37</v>
      </c>
      <c r="F121" s="6">
        <v>61332</v>
      </c>
      <c r="G121">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0BD38-0783-4737-B426-6B3B01C49A3B}">
  <dimension ref="A1:T121"/>
  <sheetViews>
    <sheetView topLeftCell="A101" workbookViewId="0">
      <selection activeCell="W110" sqref="W110"/>
    </sheetView>
  </sheetViews>
  <sheetFormatPr defaultRowHeight="14.5" x14ac:dyDescent="0.35"/>
  <cols>
    <col min="1" max="1" width="10.08984375" bestFit="1" customWidth="1"/>
    <col min="2" max="2" width="17.1796875" bestFit="1" customWidth="1"/>
    <col min="3" max="3" width="15.90625" bestFit="1" customWidth="1"/>
    <col min="4" max="4" width="13.54296875" bestFit="1" customWidth="1"/>
    <col min="5" max="5" width="15.08984375" bestFit="1" customWidth="1"/>
    <col min="6" max="6" width="4.81640625" bestFit="1" customWidth="1"/>
    <col min="7" max="7" width="17.90625" bestFit="1" customWidth="1"/>
    <col min="8" max="8" width="19.1796875" bestFit="1" customWidth="1"/>
    <col min="9" max="9" width="15.26953125" bestFit="1" customWidth="1"/>
    <col min="10" max="10" width="15.08984375" bestFit="1" customWidth="1"/>
    <col min="11" max="11" width="21.26953125" bestFit="1" customWidth="1"/>
    <col min="12" max="12" width="15.54296875" bestFit="1" customWidth="1"/>
    <col min="13" max="13" width="18.7265625" bestFit="1" customWidth="1"/>
    <col min="14" max="14" width="16.453125" bestFit="1" customWidth="1"/>
    <col min="15" max="15" width="10.26953125" bestFit="1" customWidth="1"/>
    <col min="16" max="16" width="10.36328125" customWidth="1"/>
    <col min="17" max="17" width="21.81640625" bestFit="1" customWidth="1"/>
    <col min="18" max="18" width="16.36328125" bestFit="1" customWidth="1"/>
    <col min="19" max="19" width="15.36328125" bestFit="1" customWidth="1"/>
    <col min="20" max="20" width="18.81640625" bestFit="1" customWidth="1"/>
  </cols>
  <sheetData>
    <row r="1" spans="1:20" x14ac:dyDescent="0.35">
      <c r="A1" t="s">
        <v>11</v>
      </c>
      <c r="B1" t="s">
        <v>12</v>
      </c>
      <c r="C1" t="s">
        <v>13</v>
      </c>
      <c r="D1" t="s">
        <v>14</v>
      </c>
      <c r="E1" t="s">
        <v>15</v>
      </c>
      <c r="F1" t="s">
        <v>16</v>
      </c>
      <c r="G1" t="s">
        <v>17</v>
      </c>
      <c r="H1" t="s">
        <v>254</v>
      </c>
      <c r="I1" t="s">
        <v>255</v>
      </c>
      <c r="J1" t="s">
        <v>256</v>
      </c>
      <c r="K1" t="s">
        <v>257</v>
      </c>
      <c r="L1" t="s">
        <v>258</v>
      </c>
      <c r="M1" t="s">
        <v>259</v>
      </c>
      <c r="N1" t="s">
        <v>260</v>
      </c>
      <c r="O1" t="s">
        <v>261</v>
      </c>
      <c r="P1" s="6" t="s">
        <v>262</v>
      </c>
      <c r="Q1" t="s">
        <v>263</v>
      </c>
      <c r="R1" t="s">
        <v>276</v>
      </c>
      <c r="S1" t="s">
        <v>287</v>
      </c>
      <c r="T1" t="s">
        <v>288</v>
      </c>
    </row>
    <row r="2" spans="1:20" x14ac:dyDescent="0.35">
      <c r="A2" t="s">
        <v>18</v>
      </c>
      <c r="B2" t="str">
        <f>INDEX(Students!B:B,MATCH(Master_Data!A2,Students!A:A,0))</f>
        <v>Morgan Smith</v>
      </c>
      <c r="C2" t="str">
        <f>INDEX(Students!C:C,MATCH(Master_Data!A2,Students!A:A,0))</f>
        <v>Finance</v>
      </c>
      <c r="D2" t="str">
        <f>INDEX(Students!D:D,MATCH(Master_Data!A2,Students!A:A,0))</f>
        <v>Undergraduate</v>
      </c>
      <c r="E2">
        <f>INDEX(Students!E:E,MATCH(Master_Data!A2,Students!A:A,0))</f>
        <v>2026</v>
      </c>
      <c r="F2">
        <f>INDEX(Students!F:F,MATCH(Master_Data!A2,Students!A:A,0))</f>
        <v>2.92</v>
      </c>
      <c r="G2" t="str">
        <f>INDEX(Students!G:G,MATCH(Master_Data!A2,Students!A:A,0))</f>
        <v>No</v>
      </c>
      <c r="H2">
        <f>INDEX(Engagement!B:B,MATCH(Master_Data!A2,Engagement!A:A,0))</f>
        <v>0</v>
      </c>
      <c r="I2">
        <f>INDEX(Engagement!C:C,MATCH(Master_Data!A2,Engagement!A:A,0))</f>
        <v>2</v>
      </c>
      <c r="J2">
        <f>INDEX(Engagement!D:D,MATCH(Master_Data!A2,Engagement!A:A,0))</f>
        <v>0</v>
      </c>
      <c r="K2">
        <f>INDEX(Engagement!E:E,MATCH(Master_Data!A2,Engagement!A:A,0))</f>
        <v>1</v>
      </c>
      <c r="L2" t="str">
        <f>INDEX(Outcomes!B:B,MATCH(Master_Data!A2,Engagement!A:A,0))</f>
        <v>Yes</v>
      </c>
      <c r="M2" t="str">
        <f>INDEX(Outcomes!C:C,MATCH(Master_Data!A2,Engagement!A:A,0))</f>
        <v>Employed</v>
      </c>
      <c r="N2" t="str">
        <f>INDEX(Outcomes!D:D,MATCH(Master_Data!A2,Engagement!A:A,0))</f>
        <v>Part-Time</v>
      </c>
      <c r="O2" t="str">
        <f>INDEX(Outcomes!E:E,MATCH(Master_Data!A2,Engagement!A:A,0))</f>
        <v>Finance</v>
      </c>
      <c r="P2">
        <f>INDEX(Outcomes!F:F,MATCH(Master_Data!A2,Engagement!A:A,0))</f>
        <v>34434</v>
      </c>
      <c r="Q2">
        <f>INDEX(Outcomes!G:G,MATCH(Master_Data!A2,Engagement!A:A,0))</f>
        <v>2</v>
      </c>
      <c r="R2">
        <f>H2+I2+J2+K2</f>
        <v>3</v>
      </c>
      <c r="S2" t="str">
        <f>IF(M2="Employed","Positive Outcome",
   IF(M2="Continuing Education","Further Study",
   "Seeking"))</f>
        <v>Positive Outcome</v>
      </c>
      <c r="T2" t="str">
        <f>IF(P2=0,"No Salary",
   IF(P2&lt;50000,"Below 50K",
   IF(P2&lt;=75000,"Between 50K and 75K",
   "Above 75K")))</f>
        <v>Below 50K</v>
      </c>
    </row>
    <row r="3" spans="1:20" x14ac:dyDescent="0.35">
      <c r="A3" t="s">
        <v>23</v>
      </c>
      <c r="B3" t="str">
        <f>INDEX(Students!B:B,MATCH(Master_Data!A3,Students!A:A,0))</f>
        <v>Rowan Brown</v>
      </c>
      <c r="C3" t="str">
        <f>INDEX(Students!C:C,MATCH(Master_Data!A3,Students!A:A,0))</f>
        <v>Data Science</v>
      </c>
      <c r="D3" t="str">
        <f>INDEX(Students!D:D,MATCH(Master_Data!A3,Students!A:A,0))</f>
        <v>Undergraduate</v>
      </c>
      <c r="E3">
        <f>INDEX(Students!E:E,MATCH(Master_Data!A3,Students!A:A,0))</f>
        <v>2026</v>
      </c>
      <c r="F3">
        <f>INDEX(Students!F:F,MATCH(Master_Data!A3,Students!A:A,0))</f>
        <v>3.08</v>
      </c>
      <c r="G3" t="str">
        <f>INDEX(Students!G:G,MATCH(Master_Data!A3,Students!A:A,0))</f>
        <v>No</v>
      </c>
      <c r="H3">
        <f>INDEX(Engagement!B:B,MATCH(Master_Data!A3,Engagement!A:A,0))</f>
        <v>1</v>
      </c>
      <c r="I3">
        <f>INDEX(Engagement!C:C,MATCH(Master_Data!A3,Engagement!A:A,0))</f>
        <v>1</v>
      </c>
      <c r="J3">
        <f>INDEX(Engagement!D:D,MATCH(Master_Data!A3,Engagement!A:A,0))</f>
        <v>2</v>
      </c>
      <c r="K3">
        <f>INDEX(Engagement!E:E,MATCH(Master_Data!A3,Engagement!A:A,0))</f>
        <v>0</v>
      </c>
      <c r="L3" t="str">
        <f>INDEX(Outcomes!B:B,MATCH(Master_Data!A3,Engagement!A:A,0))</f>
        <v>No</v>
      </c>
      <c r="M3" t="str">
        <f>INDEX(Outcomes!C:C,MATCH(Master_Data!A3,Engagement!A:A,0))</f>
        <v>Seeking</v>
      </c>
      <c r="N3" t="str">
        <f>INDEX(Outcomes!D:D,MATCH(Master_Data!A3,Engagement!A:A,0))</f>
        <v>NA</v>
      </c>
      <c r="O3" t="str">
        <f>INDEX(Outcomes!E:E,MATCH(Master_Data!A3,Engagement!A:A,0))</f>
        <v>NA</v>
      </c>
      <c r="P3">
        <f>INDEX(Outcomes!F:F,MATCH(Master_Data!A3,Engagement!A:A,0))</f>
        <v>0</v>
      </c>
      <c r="Q3">
        <f>INDEX(Outcomes!G:G,MATCH(Master_Data!A3,Engagement!A:A,0))</f>
        <v>0</v>
      </c>
      <c r="R3">
        <f t="shared" ref="R3:R66" si="0">H3+I3+J3+K3</f>
        <v>4</v>
      </c>
      <c r="S3" t="str">
        <f t="shared" ref="S3:S66" si="1">IF(M3="Employed","Positive Outcome",
   IF(M3="Continuing Education","Further Study",
   "Seeking"))</f>
        <v>Seeking</v>
      </c>
      <c r="T3" t="str">
        <f t="shared" ref="T3:T66" si="2">IF(P3=0,"No Salary",
   IF(P3&lt;50000,"Below 50K",
   IF(P3&lt;=75000,"Between 50K and 75K",
   "Above 75K")))</f>
        <v>No Salary</v>
      </c>
    </row>
    <row r="4" spans="1:20" x14ac:dyDescent="0.35">
      <c r="A4" t="s">
        <v>26</v>
      </c>
      <c r="B4" t="str">
        <f>INDEX(Students!B:B,MATCH(Master_Data!A4,Students!A:A,0))</f>
        <v>Rowan Miller</v>
      </c>
      <c r="C4" t="str">
        <f>INDEX(Students!C:C,MATCH(Master_Data!A4,Students!A:A,0))</f>
        <v>Data Science</v>
      </c>
      <c r="D4" t="str">
        <f>INDEX(Students!D:D,MATCH(Master_Data!A4,Students!A:A,0))</f>
        <v>Graduate</v>
      </c>
      <c r="E4">
        <f>INDEX(Students!E:E,MATCH(Master_Data!A4,Students!A:A,0))</f>
        <v>2026</v>
      </c>
      <c r="F4">
        <f>INDEX(Students!F:F,MATCH(Master_Data!A4,Students!A:A,0))</f>
        <v>3.34</v>
      </c>
      <c r="G4" t="str">
        <f>INDEX(Students!G:G,MATCH(Master_Data!A4,Students!A:A,0))</f>
        <v>Yes</v>
      </c>
      <c r="H4">
        <f>INDEX(Engagement!B:B,MATCH(Master_Data!A4,Engagement!A:A,0))</f>
        <v>4</v>
      </c>
      <c r="I4">
        <f>INDEX(Engagement!C:C,MATCH(Master_Data!A4,Engagement!A:A,0))</f>
        <v>2</v>
      </c>
      <c r="J4">
        <f>INDEX(Engagement!D:D,MATCH(Master_Data!A4,Engagement!A:A,0))</f>
        <v>1</v>
      </c>
      <c r="K4">
        <f>INDEX(Engagement!E:E,MATCH(Master_Data!A4,Engagement!A:A,0))</f>
        <v>3</v>
      </c>
      <c r="L4" t="str">
        <f>INDEX(Outcomes!B:B,MATCH(Master_Data!A4,Engagement!A:A,0))</f>
        <v>Yes</v>
      </c>
      <c r="M4" t="str">
        <f>INDEX(Outcomes!C:C,MATCH(Master_Data!A4,Engagement!A:A,0))</f>
        <v>Employed</v>
      </c>
      <c r="N4" t="str">
        <f>INDEX(Outcomes!D:D,MATCH(Master_Data!A4,Engagement!A:A,0))</f>
        <v>Part-Time</v>
      </c>
      <c r="O4" t="str">
        <f>INDEX(Outcomes!E:E,MATCH(Master_Data!A4,Engagement!A:A,0))</f>
        <v>Technology</v>
      </c>
      <c r="P4">
        <f>INDEX(Outcomes!F:F,MATCH(Master_Data!A4,Engagement!A:A,0))</f>
        <v>42873</v>
      </c>
      <c r="Q4">
        <f>INDEX(Outcomes!G:G,MATCH(Master_Data!A4,Engagement!A:A,0))</f>
        <v>4</v>
      </c>
      <c r="R4">
        <f t="shared" si="0"/>
        <v>10</v>
      </c>
      <c r="S4" t="str">
        <f t="shared" si="1"/>
        <v>Positive Outcome</v>
      </c>
      <c r="T4" t="str">
        <f t="shared" si="2"/>
        <v>Below 50K</v>
      </c>
    </row>
    <row r="5" spans="1:20" x14ac:dyDescent="0.35">
      <c r="A5" t="s">
        <v>30</v>
      </c>
      <c r="B5" t="str">
        <f>INDEX(Students!B:B,MATCH(Master_Data!A5,Students!A:A,0))</f>
        <v>Alex Garcia</v>
      </c>
      <c r="C5" t="str">
        <f>INDEX(Students!C:C,MATCH(Master_Data!A5,Students!A:A,0))</f>
        <v>Data Science</v>
      </c>
      <c r="D5" t="str">
        <f>INDEX(Students!D:D,MATCH(Master_Data!A5,Students!A:A,0))</f>
        <v>Undergraduate</v>
      </c>
      <c r="E5">
        <f>INDEX(Students!E:E,MATCH(Master_Data!A5,Students!A:A,0))</f>
        <v>2026</v>
      </c>
      <c r="F5">
        <f>INDEX(Students!F:F,MATCH(Master_Data!A5,Students!A:A,0))</f>
        <v>3.95</v>
      </c>
      <c r="G5" t="str">
        <f>INDEX(Students!G:G,MATCH(Master_Data!A5,Students!A:A,0))</f>
        <v>Yes</v>
      </c>
      <c r="H5">
        <f>INDEX(Engagement!B:B,MATCH(Master_Data!A5,Engagement!A:A,0))</f>
        <v>3</v>
      </c>
      <c r="I5">
        <f>INDEX(Engagement!C:C,MATCH(Master_Data!A5,Engagement!A:A,0))</f>
        <v>1</v>
      </c>
      <c r="J5">
        <f>INDEX(Engagement!D:D,MATCH(Master_Data!A5,Engagement!A:A,0))</f>
        <v>2</v>
      </c>
      <c r="K5">
        <f>INDEX(Engagement!E:E,MATCH(Master_Data!A5,Engagement!A:A,0))</f>
        <v>1</v>
      </c>
      <c r="L5" t="str">
        <f>INDEX(Outcomes!B:B,MATCH(Master_Data!A5,Engagement!A:A,0))</f>
        <v>No</v>
      </c>
      <c r="M5" t="str">
        <f>INDEX(Outcomes!C:C,MATCH(Master_Data!A5,Engagement!A:A,0))</f>
        <v>Employed</v>
      </c>
      <c r="N5" t="str">
        <f>INDEX(Outcomes!D:D,MATCH(Master_Data!A5,Engagement!A:A,0))</f>
        <v>Full-Time</v>
      </c>
      <c r="O5" t="str">
        <f>INDEX(Outcomes!E:E,MATCH(Master_Data!A5,Engagement!A:A,0))</f>
        <v>Education</v>
      </c>
      <c r="P5">
        <f>INDEX(Outcomes!F:F,MATCH(Master_Data!A5,Engagement!A:A,0))</f>
        <v>53883</v>
      </c>
      <c r="Q5">
        <f>INDEX(Outcomes!G:G,MATCH(Master_Data!A5,Engagement!A:A,0))</f>
        <v>3</v>
      </c>
      <c r="R5">
        <f t="shared" si="0"/>
        <v>7</v>
      </c>
      <c r="S5" t="str">
        <f t="shared" si="1"/>
        <v>Positive Outcome</v>
      </c>
      <c r="T5" t="str">
        <f t="shared" si="2"/>
        <v>Between 50K and 75K</v>
      </c>
    </row>
    <row r="6" spans="1:20" x14ac:dyDescent="0.35">
      <c r="A6" t="s">
        <v>32</v>
      </c>
      <c r="B6" t="str">
        <f>INDEX(Students!B:B,MATCH(Master_Data!A6,Students!A:A,0))</f>
        <v>Taylor Martin</v>
      </c>
      <c r="C6" t="str">
        <f>INDEX(Students!C:C,MATCH(Master_Data!A6,Students!A:A,0))</f>
        <v>Business Analytics</v>
      </c>
      <c r="D6" t="str">
        <f>INDEX(Students!D:D,MATCH(Master_Data!A6,Students!A:A,0))</f>
        <v>Graduate</v>
      </c>
      <c r="E6">
        <f>INDEX(Students!E:E,MATCH(Master_Data!A6,Students!A:A,0))</f>
        <v>2026</v>
      </c>
      <c r="F6">
        <f>INDEX(Students!F:F,MATCH(Master_Data!A6,Students!A:A,0))</f>
        <v>3.77</v>
      </c>
      <c r="G6" t="str">
        <f>INDEX(Students!G:G,MATCH(Master_Data!A6,Students!A:A,0))</f>
        <v>No</v>
      </c>
      <c r="H6">
        <f>INDEX(Engagement!B:B,MATCH(Master_Data!A6,Engagement!A:A,0))</f>
        <v>2</v>
      </c>
      <c r="I6">
        <f>INDEX(Engagement!C:C,MATCH(Master_Data!A6,Engagement!A:A,0))</f>
        <v>3</v>
      </c>
      <c r="J6">
        <f>INDEX(Engagement!D:D,MATCH(Master_Data!A6,Engagement!A:A,0))</f>
        <v>1</v>
      </c>
      <c r="K6">
        <f>INDEX(Engagement!E:E,MATCH(Master_Data!A6,Engagement!A:A,0))</f>
        <v>3</v>
      </c>
      <c r="L6" t="str">
        <f>INDEX(Outcomes!B:B,MATCH(Master_Data!A6,Engagement!A:A,0))</f>
        <v>Yes</v>
      </c>
      <c r="M6" t="str">
        <f>INDEX(Outcomes!C:C,MATCH(Master_Data!A6,Engagement!A:A,0))</f>
        <v>Employed</v>
      </c>
      <c r="N6" t="str">
        <f>INDEX(Outcomes!D:D,MATCH(Master_Data!A6,Engagement!A:A,0))</f>
        <v>Full-Time</v>
      </c>
      <c r="O6" t="str">
        <f>INDEX(Outcomes!E:E,MATCH(Master_Data!A6,Engagement!A:A,0))</f>
        <v>Healthcare</v>
      </c>
      <c r="P6">
        <f>INDEX(Outcomes!F:F,MATCH(Master_Data!A6,Engagement!A:A,0))</f>
        <v>64304</v>
      </c>
      <c r="Q6">
        <f>INDEX(Outcomes!G:G,MATCH(Master_Data!A6,Engagement!A:A,0))</f>
        <v>4</v>
      </c>
      <c r="R6">
        <f t="shared" si="0"/>
        <v>9</v>
      </c>
      <c r="S6" t="str">
        <f t="shared" si="1"/>
        <v>Positive Outcome</v>
      </c>
      <c r="T6" t="str">
        <f t="shared" si="2"/>
        <v>Between 50K and 75K</v>
      </c>
    </row>
    <row r="7" spans="1:20" x14ac:dyDescent="0.35">
      <c r="A7" t="s">
        <v>35</v>
      </c>
      <c r="B7" t="str">
        <f>INDEX(Students!B:B,MATCH(Master_Data!A7,Students!A:A,0))</f>
        <v>Rowan Lee</v>
      </c>
      <c r="C7" t="str">
        <f>INDEX(Students!C:C,MATCH(Master_Data!A7,Students!A:A,0))</f>
        <v>Marketing</v>
      </c>
      <c r="D7" t="str">
        <f>INDEX(Students!D:D,MATCH(Master_Data!A7,Students!A:A,0))</f>
        <v>Undergraduate</v>
      </c>
      <c r="E7">
        <f>INDEX(Students!E:E,MATCH(Master_Data!A7,Students!A:A,0))</f>
        <v>2026</v>
      </c>
      <c r="F7">
        <f>INDEX(Students!F:F,MATCH(Master_Data!A7,Students!A:A,0))</f>
        <v>3.8</v>
      </c>
      <c r="G7" t="str">
        <f>INDEX(Students!G:G,MATCH(Master_Data!A7,Students!A:A,0))</f>
        <v>No</v>
      </c>
      <c r="H7">
        <f>INDEX(Engagement!B:B,MATCH(Master_Data!A7,Engagement!A:A,0))</f>
        <v>5</v>
      </c>
      <c r="I7">
        <f>INDEX(Engagement!C:C,MATCH(Master_Data!A7,Engagement!A:A,0))</f>
        <v>0</v>
      </c>
      <c r="J7">
        <f>INDEX(Engagement!D:D,MATCH(Master_Data!A7,Engagement!A:A,0))</f>
        <v>0</v>
      </c>
      <c r="K7">
        <f>INDEX(Engagement!E:E,MATCH(Master_Data!A7,Engagement!A:A,0))</f>
        <v>1</v>
      </c>
      <c r="L7" t="str">
        <f>INDEX(Outcomes!B:B,MATCH(Master_Data!A7,Engagement!A:A,0))</f>
        <v>No</v>
      </c>
      <c r="M7" t="str">
        <f>INDEX(Outcomes!C:C,MATCH(Master_Data!A7,Engagement!A:A,0))</f>
        <v>Seeking</v>
      </c>
      <c r="N7" t="str">
        <f>INDEX(Outcomes!D:D,MATCH(Master_Data!A7,Engagement!A:A,0))</f>
        <v>NA</v>
      </c>
      <c r="O7" t="str">
        <f>INDEX(Outcomes!E:E,MATCH(Master_Data!A7,Engagement!A:A,0))</f>
        <v>NA</v>
      </c>
      <c r="P7">
        <f>INDEX(Outcomes!F:F,MATCH(Master_Data!A7,Engagement!A:A,0))</f>
        <v>0</v>
      </c>
      <c r="Q7">
        <f>INDEX(Outcomes!G:G,MATCH(Master_Data!A7,Engagement!A:A,0))</f>
        <v>0</v>
      </c>
      <c r="R7">
        <f t="shared" si="0"/>
        <v>6</v>
      </c>
      <c r="S7" t="str">
        <f t="shared" si="1"/>
        <v>Seeking</v>
      </c>
      <c r="T7" t="str">
        <f t="shared" si="2"/>
        <v>No Salary</v>
      </c>
    </row>
    <row r="8" spans="1:20" x14ac:dyDescent="0.35">
      <c r="A8" t="s">
        <v>38</v>
      </c>
      <c r="B8" t="str">
        <f>INDEX(Students!B:B,MATCH(Master_Data!A8,Students!A:A,0))</f>
        <v>Parker Walker</v>
      </c>
      <c r="C8" t="str">
        <f>INDEX(Students!C:C,MATCH(Master_Data!A8,Students!A:A,0))</f>
        <v>Business Analytics</v>
      </c>
      <c r="D8" t="str">
        <f>INDEX(Students!D:D,MATCH(Master_Data!A8,Students!A:A,0))</f>
        <v>Undergraduate</v>
      </c>
      <c r="E8">
        <f>INDEX(Students!E:E,MATCH(Master_Data!A8,Students!A:A,0))</f>
        <v>2027</v>
      </c>
      <c r="F8">
        <f>INDEX(Students!F:F,MATCH(Master_Data!A8,Students!A:A,0))</f>
        <v>3.73</v>
      </c>
      <c r="G8" t="str">
        <f>INDEX(Students!G:G,MATCH(Master_Data!A8,Students!A:A,0))</f>
        <v>No</v>
      </c>
      <c r="H8">
        <f>INDEX(Engagement!B:B,MATCH(Master_Data!A8,Engagement!A:A,0))</f>
        <v>4</v>
      </c>
      <c r="I8">
        <f>INDEX(Engagement!C:C,MATCH(Master_Data!A8,Engagement!A:A,0))</f>
        <v>1</v>
      </c>
      <c r="J8">
        <f>INDEX(Engagement!D:D,MATCH(Master_Data!A8,Engagement!A:A,0))</f>
        <v>3</v>
      </c>
      <c r="K8">
        <f>INDEX(Engagement!E:E,MATCH(Master_Data!A8,Engagement!A:A,0))</f>
        <v>1</v>
      </c>
      <c r="L8" t="str">
        <f>INDEX(Outcomes!B:B,MATCH(Master_Data!A8,Engagement!A:A,0))</f>
        <v>No</v>
      </c>
      <c r="M8" t="str">
        <f>INDEX(Outcomes!C:C,MATCH(Master_Data!A8,Engagement!A:A,0))</f>
        <v>Seeking</v>
      </c>
      <c r="N8" t="str">
        <f>INDEX(Outcomes!D:D,MATCH(Master_Data!A8,Engagement!A:A,0))</f>
        <v>NA</v>
      </c>
      <c r="O8" t="str">
        <f>INDEX(Outcomes!E:E,MATCH(Master_Data!A8,Engagement!A:A,0))</f>
        <v>NA</v>
      </c>
      <c r="P8">
        <f>INDEX(Outcomes!F:F,MATCH(Master_Data!A8,Engagement!A:A,0))</f>
        <v>0</v>
      </c>
      <c r="Q8">
        <f>INDEX(Outcomes!G:G,MATCH(Master_Data!A8,Engagement!A:A,0))</f>
        <v>0</v>
      </c>
      <c r="R8">
        <f t="shared" si="0"/>
        <v>9</v>
      </c>
      <c r="S8" t="str">
        <f t="shared" si="1"/>
        <v>Seeking</v>
      </c>
      <c r="T8" t="str">
        <f t="shared" si="2"/>
        <v>No Salary</v>
      </c>
    </row>
    <row r="9" spans="1:20" x14ac:dyDescent="0.35">
      <c r="A9" t="s">
        <v>40</v>
      </c>
      <c r="B9" t="str">
        <f>INDEX(Students!B:B,MATCH(Master_Data!A9,Students!A:A,0))</f>
        <v>Cameron Lee</v>
      </c>
      <c r="C9" t="str">
        <f>INDEX(Students!C:C,MATCH(Master_Data!A9,Students!A:A,0))</f>
        <v>Computer Science</v>
      </c>
      <c r="D9" t="str">
        <f>INDEX(Students!D:D,MATCH(Master_Data!A9,Students!A:A,0))</f>
        <v>Graduate</v>
      </c>
      <c r="E9">
        <f>INDEX(Students!E:E,MATCH(Master_Data!A9,Students!A:A,0))</f>
        <v>2027</v>
      </c>
      <c r="F9">
        <f>INDEX(Students!F:F,MATCH(Master_Data!A9,Students!A:A,0))</f>
        <v>3</v>
      </c>
      <c r="G9" t="str">
        <f>INDEX(Students!G:G,MATCH(Master_Data!A9,Students!A:A,0))</f>
        <v>No</v>
      </c>
      <c r="H9">
        <f>INDEX(Engagement!B:B,MATCH(Master_Data!A9,Engagement!A:A,0))</f>
        <v>3</v>
      </c>
      <c r="I9">
        <f>INDEX(Engagement!C:C,MATCH(Master_Data!A9,Engagement!A:A,0))</f>
        <v>1</v>
      </c>
      <c r="J9">
        <f>INDEX(Engagement!D:D,MATCH(Master_Data!A9,Engagement!A:A,0))</f>
        <v>3</v>
      </c>
      <c r="K9">
        <f>INDEX(Engagement!E:E,MATCH(Master_Data!A9,Engagement!A:A,0))</f>
        <v>3</v>
      </c>
      <c r="L9" t="str">
        <f>INDEX(Outcomes!B:B,MATCH(Master_Data!A9,Engagement!A:A,0))</f>
        <v>No</v>
      </c>
      <c r="M9" t="str">
        <f>INDEX(Outcomes!C:C,MATCH(Master_Data!A9,Engagement!A:A,0))</f>
        <v>Employed</v>
      </c>
      <c r="N9" t="str">
        <f>INDEX(Outcomes!D:D,MATCH(Master_Data!A9,Engagement!A:A,0))</f>
        <v>Full-Time</v>
      </c>
      <c r="O9" t="str">
        <f>INDEX(Outcomes!E:E,MATCH(Master_Data!A9,Engagement!A:A,0))</f>
        <v>Marketing</v>
      </c>
      <c r="P9">
        <f>INDEX(Outcomes!F:F,MATCH(Master_Data!A9,Engagement!A:A,0))</f>
        <v>53353</v>
      </c>
      <c r="Q9">
        <f>INDEX(Outcomes!G:G,MATCH(Master_Data!A9,Engagement!A:A,0))</f>
        <v>2</v>
      </c>
      <c r="R9">
        <f t="shared" si="0"/>
        <v>10</v>
      </c>
      <c r="S9" t="str">
        <f t="shared" si="1"/>
        <v>Positive Outcome</v>
      </c>
      <c r="T9" t="str">
        <f t="shared" si="2"/>
        <v>Between 50K and 75K</v>
      </c>
    </row>
    <row r="10" spans="1:20" x14ac:dyDescent="0.35">
      <c r="A10" t="s">
        <v>43</v>
      </c>
      <c r="B10" t="str">
        <f>INDEX(Students!B:B,MATCH(Master_Data!A10,Students!A:A,0))</f>
        <v>Drew Brown</v>
      </c>
      <c r="C10" t="str">
        <f>INDEX(Students!C:C,MATCH(Master_Data!A10,Students!A:A,0))</f>
        <v>Data Science</v>
      </c>
      <c r="D10" t="str">
        <f>INDEX(Students!D:D,MATCH(Master_Data!A10,Students!A:A,0))</f>
        <v>Undergraduate</v>
      </c>
      <c r="E10">
        <f>INDEX(Students!E:E,MATCH(Master_Data!A10,Students!A:A,0))</f>
        <v>2027</v>
      </c>
      <c r="F10">
        <f>INDEX(Students!F:F,MATCH(Master_Data!A10,Students!A:A,0))</f>
        <v>3</v>
      </c>
      <c r="G10" t="str">
        <f>INDEX(Students!G:G,MATCH(Master_Data!A10,Students!A:A,0))</f>
        <v>No</v>
      </c>
      <c r="H10">
        <f>INDEX(Engagement!B:B,MATCH(Master_Data!A10,Engagement!A:A,0))</f>
        <v>4</v>
      </c>
      <c r="I10">
        <f>INDEX(Engagement!C:C,MATCH(Master_Data!A10,Engagement!A:A,0))</f>
        <v>1</v>
      </c>
      <c r="J10">
        <f>INDEX(Engagement!D:D,MATCH(Master_Data!A10,Engagement!A:A,0))</f>
        <v>1</v>
      </c>
      <c r="K10">
        <f>INDEX(Engagement!E:E,MATCH(Master_Data!A10,Engagement!A:A,0))</f>
        <v>1</v>
      </c>
      <c r="L10" t="str">
        <f>INDEX(Outcomes!B:B,MATCH(Master_Data!A10,Engagement!A:A,0))</f>
        <v>Yes</v>
      </c>
      <c r="M10" t="str">
        <f>INDEX(Outcomes!C:C,MATCH(Master_Data!A10,Engagement!A:A,0))</f>
        <v>Employed</v>
      </c>
      <c r="N10" t="str">
        <f>INDEX(Outcomes!D:D,MATCH(Master_Data!A10,Engagement!A:A,0))</f>
        <v>Internship</v>
      </c>
      <c r="O10" t="str">
        <f>INDEX(Outcomes!E:E,MATCH(Master_Data!A10,Engagement!A:A,0))</f>
        <v>Technology</v>
      </c>
      <c r="P10">
        <f>INDEX(Outcomes!F:F,MATCH(Master_Data!A10,Engagement!A:A,0))</f>
        <v>37985</v>
      </c>
      <c r="Q10">
        <f>INDEX(Outcomes!G:G,MATCH(Master_Data!A10,Engagement!A:A,0))</f>
        <v>5</v>
      </c>
      <c r="R10">
        <f t="shared" si="0"/>
        <v>7</v>
      </c>
      <c r="S10" t="str">
        <f t="shared" si="1"/>
        <v>Positive Outcome</v>
      </c>
      <c r="T10" t="str">
        <f t="shared" si="2"/>
        <v>Below 50K</v>
      </c>
    </row>
    <row r="11" spans="1:20" x14ac:dyDescent="0.35">
      <c r="A11" t="s">
        <v>45</v>
      </c>
      <c r="B11" t="str">
        <f>INDEX(Students!B:B,MATCH(Master_Data!A11,Students!A:A,0))</f>
        <v>Rowan Davis</v>
      </c>
      <c r="C11" t="str">
        <f>INDEX(Students!C:C,MATCH(Master_Data!A11,Students!A:A,0))</f>
        <v>Data Science</v>
      </c>
      <c r="D11" t="str">
        <f>INDEX(Students!D:D,MATCH(Master_Data!A11,Students!A:A,0))</f>
        <v>Graduate</v>
      </c>
      <c r="E11">
        <f>INDEX(Students!E:E,MATCH(Master_Data!A11,Students!A:A,0))</f>
        <v>2027</v>
      </c>
      <c r="F11">
        <f>INDEX(Students!F:F,MATCH(Master_Data!A11,Students!A:A,0))</f>
        <v>3.07</v>
      </c>
      <c r="G11" t="str">
        <f>INDEX(Students!G:G,MATCH(Master_Data!A11,Students!A:A,0))</f>
        <v>Yes</v>
      </c>
      <c r="H11">
        <f>INDEX(Engagement!B:B,MATCH(Master_Data!A11,Engagement!A:A,0))</f>
        <v>3</v>
      </c>
      <c r="I11">
        <f>INDEX(Engagement!C:C,MATCH(Master_Data!A11,Engagement!A:A,0))</f>
        <v>1</v>
      </c>
      <c r="J11">
        <f>INDEX(Engagement!D:D,MATCH(Master_Data!A11,Engagement!A:A,0))</f>
        <v>2</v>
      </c>
      <c r="K11">
        <f>INDEX(Engagement!E:E,MATCH(Master_Data!A11,Engagement!A:A,0))</f>
        <v>2</v>
      </c>
      <c r="L11" t="str">
        <f>INDEX(Outcomes!B:B,MATCH(Master_Data!A11,Engagement!A:A,0))</f>
        <v>Yes</v>
      </c>
      <c r="M11" t="str">
        <f>INDEX(Outcomes!C:C,MATCH(Master_Data!A11,Engagement!A:A,0))</f>
        <v>Employed</v>
      </c>
      <c r="N11" t="str">
        <f>INDEX(Outcomes!D:D,MATCH(Master_Data!A11,Engagement!A:A,0))</f>
        <v>Internship</v>
      </c>
      <c r="O11" t="str">
        <f>INDEX(Outcomes!E:E,MATCH(Master_Data!A11,Engagement!A:A,0))</f>
        <v>Technology</v>
      </c>
      <c r="P11">
        <f>INDEX(Outcomes!F:F,MATCH(Master_Data!A11,Engagement!A:A,0))</f>
        <v>35622</v>
      </c>
      <c r="Q11">
        <f>INDEX(Outcomes!G:G,MATCH(Master_Data!A11,Engagement!A:A,0))</f>
        <v>5</v>
      </c>
      <c r="R11">
        <f t="shared" si="0"/>
        <v>8</v>
      </c>
      <c r="S11" t="str">
        <f t="shared" si="1"/>
        <v>Positive Outcome</v>
      </c>
      <c r="T11" t="str">
        <f t="shared" si="2"/>
        <v>Below 50K</v>
      </c>
    </row>
    <row r="12" spans="1:20" x14ac:dyDescent="0.35">
      <c r="A12" t="s">
        <v>47</v>
      </c>
      <c r="B12" t="str">
        <f>INDEX(Students!B:B,MATCH(Master_Data!A12,Students!A:A,0))</f>
        <v>Skyler Martin</v>
      </c>
      <c r="C12" t="str">
        <f>INDEX(Students!C:C,MATCH(Master_Data!A12,Students!A:A,0))</f>
        <v>Computer Science</v>
      </c>
      <c r="D12" t="str">
        <f>INDEX(Students!D:D,MATCH(Master_Data!A12,Students!A:A,0))</f>
        <v>Undergraduate</v>
      </c>
      <c r="E12">
        <f>INDEX(Students!E:E,MATCH(Master_Data!A12,Students!A:A,0))</f>
        <v>2027</v>
      </c>
      <c r="F12">
        <f>INDEX(Students!F:F,MATCH(Master_Data!A12,Students!A:A,0))</f>
        <v>3.85</v>
      </c>
      <c r="G12" t="str">
        <f>INDEX(Students!G:G,MATCH(Master_Data!A12,Students!A:A,0))</f>
        <v>Yes</v>
      </c>
      <c r="H12">
        <f>INDEX(Engagement!B:B,MATCH(Master_Data!A12,Engagement!A:A,0))</f>
        <v>3</v>
      </c>
      <c r="I12">
        <f>INDEX(Engagement!C:C,MATCH(Master_Data!A12,Engagement!A:A,0))</f>
        <v>1</v>
      </c>
      <c r="J12">
        <f>INDEX(Engagement!D:D,MATCH(Master_Data!A12,Engagement!A:A,0))</f>
        <v>1</v>
      </c>
      <c r="K12">
        <f>INDEX(Engagement!E:E,MATCH(Master_Data!A12,Engagement!A:A,0))</f>
        <v>1</v>
      </c>
      <c r="L12" t="str">
        <f>INDEX(Outcomes!B:B,MATCH(Master_Data!A12,Engagement!A:A,0))</f>
        <v>Yes</v>
      </c>
      <c r="M12" t="str">
        <f>INDEX(Outcomes!C:C,MATCH(Master_Data!A12,Engagement!A:A,0))</f>
        <v>Employed</v>
      </c>
      <c r="N12" t="str">
        <f>INDEX(Outcomes!D:D,MATCH(Master_Data!A12,Engagement!A:A,0))</f>
        <v>Full-Time</v>
      </c>
      <c r="O12" t="str">
        <f>INDEX(Outcomes!E:E,MATCH(Master_Data!A12,Engagement!A:A,0))</f>
        <v>Marketing</v>
      </c>
      <c r="P12">
        <f>INDEX(Outcomes!F:F,MATCH(Master_Data!A12,Engagement!A:A,0))</f>
        <v>58812</v>
      </c>
      <c r="Q12">
        <f>INDEX(Outcomes!G:G,MATCH(Master_Data!A12,Engagement!A:A,0))</f>
        <v>6</v>
      </c>
      <c r="R12">
        <f t="shared" si="0"/>
        <v>6</v>
      </c>
      <c r="S12" t="str">
        <f t="shared" si="1"/>
        <v>Positive Outcome</v>
      </c>
      <c r="T12" t="str">
        <f t="shared" si="2"/>
        <v>Between 50K and 75K</v>
      </c>
    </row>
    <row r="13" spans="1:20" x14ac:dyDescent="0.35">
      <c r="A13" t="s">
        <v>49</v>
      </c>
      <c r="B13" t="str">
        <f>INDEX(Students!B:B,MATCH(Master_Data!A13,Students!A:A,0))</f>
        <v>Emerson Martin</v>
      </c>
      <c r="C13" t="str">
        <f>INDEX(Students!C:C,MATCH(Master_Data!A13,Students!A:A,0))</f>
        <v>Marketing</v>
      </c>
      <c r="D13" t="str">
        <f>INDEX(Students!D:D,MATCH(Master_Data!A13,Students!A:A,0))</f>
        <v>Graduate</v>
      </c>
      <c r="E13">
        <f>INDEX(Students!E:E,MATCH(Master_Data!A13,Students!A:A,0))</f>
        <v>2026</v>
      </c>
      <c r="F13">
        <f>INDEX(Students!F:F,MATCH(Master_Data!A13,Students!A:A,0))</f>
        <v>2.97</v>
      </c>
      <c r="G13" t="str">
        <f>INDEX(Students!G:G,MATCH(Master_Data!A13,Students!A:A,0))</f>
        <v>No</v>
      </c>
      <c r="H13">
        <f>INDEX(Engagement!B:B,MATCH(Master_Data!A13,Engagement!A:A,0))</f>
        <v>4</v>
      </c>
      <c r="I13">
        <f>INDEX(Engagement!C:C,MATCH(Master_Data!A13,Engagement!A:A,0))</f>
        <v>1</v>
      </c>
      <c r="J13">
        <f>INDEX(Engagement!D:D,MATCH(Master_Data!A13,Engagement!A:A,0))</f>
        <v>0</v>
      </c>
      <c r="K13">
        <f>INDEX(Engagement!E:E,MATCH(Master_Data!A13,Engagement!A:A,0))</f>
        <v>2</v>
      </c>
      <c r="L13" t="str">
        <f>INDEX(Outcomes!B:B,MATCH(Master_Data!A13,Engagement!A:A,0))</f>
        <v>Yes</v>
      </c>
      <c r="M13" t="str">
        <f>INDEX(Outcomes!C:C,MATCH(Master_Data!A13,Engagement!A:A,0))</f>
        <v>Seeking</v>
      </c>
      <c r="N13" t="str">
        <f>INDEX(Outcomes!D:D,MATCH(Master_Data!A13,Engagement!A:A,0))</f>
        <v>NA</v>
      </c>
      <c r="O13" t="str">
        <f>INDEX(Outcomes!E:E,MATCH(Master_Data!A13,Engagement!A:A,0))</f>
        <v>NA</v>
      </c>
      <c r="P13">
        <f>INDEX(Outcomes!F:F,MATCH(Master_Data!A13,Engagement!A:A,0))</f>
        <v>0</v>
      </c>
      <c r="Q13">
        <f>INDEX(Outcomes!G:G,MATCH(Master_Data!A13,Engagement!A:A,0))</f>
        <v>0</v>
      </c>
      <c r="R13">
        <f t="shared" si="0"/>
        <v>7</v>
      </c>
      <c r="S13" t="str">
        <f t="shared" si="1"/>
        <v>Seeking</v>
      </c>
      <c r="T13" t="str">
        <f t="shared" si="2"/>
        <v>No Salary</v>
      </c>
    </row>
    <row r="14" spans="1:20" x14ac:dyDescent="0.35">
      <c r="A14" t="s">
        <v>51</v>
      </c>
      <c r="B14" t="str">
        <f>INDEX(Students!B:B,MATCH(Master_Data!A14,Students!A:A,0))</f>
        <v>Rowan Wilson</v>
      </c>
      <c r="C14" t="str">
        <f>INDEX(Students!C:C,MATCH(Master_Data!A14,Students!A:A,0))</f>
        <v>Finance</v>
      </c>
      <c r="D14" t="str">
        <f>INDEX(Students!D:D,MATCH(Master_Data!A14,Students!A:A,0))</f>
        <v>Undergraduate</v>
      </c>
      <c r="E14">
        <f>INDEX(Students!E:E,MATCH(Master_Data!A14,Students!A:A,0))</f>
        <v>2026</v>
      </c>
      <c r="F14">
        <f>INDEX(Students!F:F,MATCH(Master_Data!A14,Students!A:A,0))</f>
        <v>3.23</v>
      </c>
      <c r="G14" t="str">
        <f>INDEX(Students!G:G,MATCH(Master_Data!A14,Students!A:A,0))</f>
        <v>No</v>
      </c>
      <c r="H14">
        <f>INDEX(Engagement!B:B,MATCH(Master_Data!A14,Engagement!A:A,0))</f>
        <v>5</v>
      </c>
      <c r="I14">
        <f>INDEX(Engagement!C:C,MATCH(Master_Data!A14,Engagement!A:A,0))</f>
        <v>1</v>
      </c>
      <c r="J14">
        <f>INDEX(Engagement!D:D,MATCH(Master_Data!A14,Engagement!A:A,0))</f>
        <v>2</v>
      </c>
      <c r="K14">
        <f>INDEX(Engagement!E:E,MATCH(Master_Data!A14,Engagement!A:A,0))</f>
        <v>1</v>
      </c>
      <c r="L14" t="str">
        <f>INDEX(Outcomes!B:B,MATCH(Master_Data!A14,Engagement!A:A,0))</f>
        <v>No</v>
      </c>
      <c r="M14" t="str">
        <f>INDEX(Outcomes!C:C,MATCH(Master_Data!A14,Engagement!A:A,0))</f>
        <v>Seeking</v>
      </c>
      <c r="N14" t="str">
        <f>INDEX(Outcomes!D:D,MATCH(Master_Data!A14,Engagement!A:A,0))</f>
        <v>NA</v>
      </c>
      <c r="O14" t="str">
        <f>INDEX(Outcomes!E:E,MATCH(Master_Data!A14,Engagement!A:A,0))</f>
        <v>NA</v>
      </c>
      <c r="P14">
        <f>INDEX(Outcomes!F:F,MATCH(Master_Data!A14,Engagement!A:A,0))</f>
        <v>0</v>
      </c>
      <c r="Q14">
        <f>INDEX(Outcomes!G:G,MATCH(Master_Data!A14,Engagement!A:A,0))</f>
        <v>0</v>
      </c>
      <c r="R14">
        <f t="shared" si="0"/>
        <v>9</v>
      </c>
      <c r="S14" t="str">
        <f t="shared" si="1"/>
        <v>Seeking</v>
      </c>
      <c r="T14" t="str">
        <f t="shared" si="2"/>
        <v>No Salary</v>
      </c>
    </row>
    <row r="15" spans="1:20" x14ac:dyDescent="0.35">
      <c r="A15" t="s">
        <v>53</v>
      </c>
      <c r="B15" t="str">
        <f>INDEX(Students!B:B,MATCH(Master_Data!A15,Students!A:A,0))</f>
        <v>Casey Clark</v>
      </c>
      <c r="C15" t="str">
        <f>INDEX(Students!C:C,MATCH(Master_Data!A15,Students!A:A,0))</f>
        <v>Economics</v>
      </c>
      <c r="D15" t="str">
        <f>INDEX(Students!D:D,MATCH(Master_Data!A15,Students!A:A,0))</f>
        <v>Graduate</v>
      </c>
      <c r="E15">
        <f>INDEX(Students!E:E,MATCH(Master_Data!A15,Students!A:A,0))</f>
        <v>2027</v>
      </c>
      <c r="F15">
        <f>INDEX(Students!F:F,MATCH(Master_Data!A15,Students!A:A,0))</f>
        <v>2.98</v>
      </c>
      <c r="G15" t="str">
        <f>INDEX(Students!G:G,MATCH(Master_Data!A15,Students!A:A,0))</f>
        <v>Yes</v>
      </c>
      <c r="H15">
        <f>INDEX(Engagement!B:B,MATCH(Master_Data!A15,Engagement!A:A,0))</f>
        <v>6</v>
      </c>
      <c r="I15">
        <f>INDEX(Engagement!C:C,MATCH(Master_Data!A15,Engagement!A:A,0))</f>
        <v>1</v>
      </c>
      <c r="J15">
        <f>INDEX(Engagement!D:D,MATCH(Master_Data!A15,Engagement!A:A,0))</f>
        <v>1</v>
      </c>
      <c r="K15">
        <f>INDEX(Engagement!E:E,MATCH(Master_Data!A15,Engagement!A:A,0))</f>
        <v>0</v>
      </c>
      <c r="L15" t="str">
        <f>INDEX(Outcomes!B:B,MATCH(Master_Data!A15,Engagement!A:A,0))</f>
        <v>No</v>
      </c>
      <c r="M15" t="str">
        <f>INDEX(Outcomes!C:C,MATCH(Master_Data!A15,Engagement!A:A,0))</f>
        <v>Seeking</v>
      </c>
      <c r="N15" t="str">
        <f>INDEX(Outcomes!D:D,MATCH(Master_Data!A15,Engagement!A:A,0))</f>
        <v>NA</v>
      </c>
      <c r="O15" t="str">
        <f>INDEX(Outcomes!E:E,MATCH(Master_Data!A15,Engagement!A:A,0))</f>
        <v>NA</v>
      </c>
      <c r="P15">
        <f>INDEX(Outcomes!F:F,MATCH(Master_Data!A15,Engagement!A:A,0))</f>
        <v>0</v>
      </c>
      <c r="Q15">
        <f>INDEX(Outcomes!G:G,MATCH(Master_Data!A15,Engagement!A:A,0))</f>
        <v>0</v>
      </c>
      <c r="R15">
        <f t="shared" si="0"/>
        <v>8</v>
      </c>
      <c r="S15" t="str">
        <f t="shared" si="1"/>
        <v>Seeking</v>
      </c>
      <c r="T15" t="str">
        <f t="shared" si="2"/>
        <v>No Salary</v>
      </c>
    </row>
    <row r="16" spans="1:20" x14ac:dyDescent="0.35">
      <c r="A16" t="s">
        <v>56</v>
      </c>
      <c r="B16" t="str">
        <f>INDEX(Students!B:B,MATCH(Master_Data!A16,Students!A:A,0))</f>
        <v>Quinn Hall</v>
      </c>
      <c r="C16" t="str">
        <f>INDEX(Students!C:C,MATCH(Master_Data!A16,Students!A:A,0))</f>
        <v>Business Analytics</v>
      </c>
      <c r="D16" t="str">
        <f>INDEX(Students!D:D,MATCH(Master_Data!A16,Students!A:A,0))</f>
        <v>Undergraduate</v>
      </c>
      <c r="E16">
        <f>INDEX(Students!E:E,MATCH(Master_Data!A16,Students!A:A,0))</f>
        <v>2027</v>
      </c>
      <c r="F16">
        <f>INDEX(Students!F:F,MATCH(Master_Data!A16,Students!A:A,0))</f>
        <v>3.43</v>
      </c>
      <c r="G16" t="str">
        <f>INDEX(Students!G:G,MATCH(Master_Data!A16,Students!A:A,0))</f>
        <v>No</v>
      </c>
      <c r="H16">
        <f>INDEX(Engagement!B:B,MATCH(Master_Data!A16,Engagement!A:A,0))</f>
        <v>3</v>
      </c>
      <c r="I16">
        <f>INDEX(Engagement!C:C,MATCH(Master_Data!A16,Engagement!A:A,0))</f>
        <v>2</v>
      </c>
      <c r="J16">
        <f>INDEX(Engagement!D:D,MATCH(Master_Data!A16,Engagement!A:A,0))</f>
        <v>2</v>
      </c>
      <c r="K16">
        <f>INDEX(Engagement!E:E,MATCH(Master_Data!A16,Engagement!A:A,0))</f>
        <v>1</v>
      </c>
      <c r="L16" t="str">
        <f>INDEX(Outcomes!B:B,MATCH(Master_Data!A16,Engagement!A:A,0))</f>
        <v>Yes</v>
      </c>
      <c r="M16" t="str">
        <f>INDEX(Outcomes!C:C,MATCH(Master_Data!A16,Engagement!A:A,0))</f>
        <v>Continuing Education</v>
      </c>
      <c r="N16" t="str">
        <f>INDEX(Outcomes!D:D,MATCH(Master_Data!A16,Engagement!A:A,0))</f>
        <v>NA</v>
      </c>
      <c r="O16" t="str">
        <f>INDEX(Outcomes!E:E,MATCH(Master_Data!A16,Engagement!A:A,0))</f>
        <v>NA</v>
      </c>
      <c r="P16">
        <f>INDEX(Outcomes!F:F,MATCH(Master_Data!A16,Engagement!A:A,0))</f>
        <v>0</v>
      </c>
      <c r="Q16">
        <f>INDEX(Outcomes!G:G,MATCH(Master_Data!A16,Engagement!A:A,0))</f>
        <v>0</v>
      </c>
      <c r="R16">
        <f t="shared" si="0"/>
        <v>8</v>
      </c>
      <c r="S16" t="str">
        <f t="shared" si="1"/>
        <v>Further Study</v>
      </c>
      <c r="T16" t="str">
        <f t="shared" si="2"/>
        <v>No Salary</v>
      </c>
    </row>
    <row r="17" spans="1:20" x14ac:dyDescent="0.35">
      <c r="A17" t="s">
        <v>58</v>
      </c>
      <c r="B17" t="str">
        <f>INDEX(Students!B:B,MATCH(Master_Data!A17,Students!A:A,0))</f>
        <v>Alex Lee</v>
      </c>
      <c r="C17" t="str">
        <f>INDEX(Students!C:C,MATCH(Master_Data!A17,Students!A:A,0))</f>
        <v>Data Science</v>
      </c>
      <c r="D17" t="str">
        <f>INDEX(Students!D:D,MATCH(Master_Data!A17,Students!A:A,0))</f>
        <v>Graduate</v>
      </c>
      <c r="E17">
        <f>INDEX(Students!E:E,MATCH(Master_Data!A17,Students!A:A,0))</f>
        <v>2026</v>
      </c>
      <c r="F17">
        <f>INDEX(Students!F:F,MATCH(Master_Data!A17,Students!A:A,0))</f>
        <v>3.57</v>
      </c>
      <c r="G17" t="str">
        <f>INDEX(Students!G:G,MATCH(Master_Data!A17,Students!A:A,0))</f>
        <v>Yes</v>
      </c>
      <c r="H17">
        <f>INDEX(Engagement!B:B,MATCH(Master_Data!A17,Engagement!A:A,0))</f>
        <v>5</v>
      </c>
      <c r="I17">
        <f>INDEX(Engagement!C:C,MATCH(Master_Data!A17,Engagement!A:A,0))</f>
        <v>1</v>
      </c>
      <c r="J17">
        <f>INDEX(Engagement!D:D,MATCH(Master_Data!A17,Engagement!A:A,0))</f>
        <v>2</v>
      </c>
      <c r="K17">
        <f>INDEX(Engagement!E:E,MATCH(Master_Data!A17,Engagement!A:A,0))</f>
        <v>2</v>
      </c>
      <c r="L17" t="str">
        <f>INDEX(Outcomes!B:B,MATCH(Master_Data!A17,Engagement!A:A,0))</f>
        <v>Yes</v>
      </c>
      <c r="M17" t="str">
        <f>INDEX(Outcomes!C:C,MATCH(Master_Data!A17,Engagement!A:A,0))</f>
        <v>Employed</v>
      </c>
      <c r="N17" t="str">
        <f>INDEX(Outcomes!D:D,MATCH(Master_Data!A17,Engagement!A:A,0))</f>
        <v>Full-Time</v>
      </c>
      <c r="O17" t="str">
        <f>INDEX(Outcomes!E:E,MATCH(Master_Data!A17,Engagement!A:A,0))</f>
        <v>Technology</v>
      </c>
      <c r="P17">
        <f>INDEX(Outcomes!F:F,MATCH(Master_Data!A17,Engagement!A:A,0))</f>
        <v>74742</v>
      </c>
      <c r="Q17">
        <f>INDEX(Outcomes!G:G,MATCH(Master_Data!A17,Engagement!A:A,0))</f>
        <v>1</v>
      </c>
      <c r="R17">
        <f t="shared" si="0"/>
        <v>10</v>
      </c>
      <c r="S17" t="str">
        <f t="shared" si="1"/>
        <v>Positive Outcome</v>
      </c>
      <c r="T17" t="str">
        <f t="shared" si="2"/>
        <v>Between 50K and 75K</v>
      </c>
    </row>
    <row r="18" spans="1:20" x14ac:dyDescent="0.35">
      <c r="A18" t="s">
        <v>60</v>
      </c>
      <c r="B18" t="str">
        <f>INDEX(Students!B:B,MATCH(Master_Data!A18,Students!A:A,0))</f>
        <v>Quinn Garcia</v>
      </c>
      <c r="C18" t="str">
        <f>INDEX(Students!C:C,MATCH(Master_Data!A18,Students!A:A,0))</f>
        <v>Economics</v>
      </c>
      <c r="D18" t="str">
        <f>INDEX(Students!D:D,MATCH(Master_Data!A18,Students!A:A,0))</f>
        <v>Graduate</v>
      </c>
      <c r="E18">
        <f>INDEX(Students!E:E,MATCH(Master_Data!A18,Students!A:A,0))</f>
        <v>2027</v>
      </c>
      <c r="F18">
        <f>INDEX(Students!F:F,MATCH(Master_Data!A18,Students!A:A,0))</f>
        <v>3.12</v>
      </c>
      <c r="G18" t="str">
        <f>INDEX(Students!G:G,MATCH(Master_Data!A18,Students!A:A,0))</f>
        <v>No</v>
      </c>
      <c r="H18">
        <f>INDEX(Engagement!B:B,MATCH(Master_Data!A18,Engagement!A:A,0))</f>
        <v>3</v>
      </c>
      <c r="I18">
        <f>INDEX(Engagement!C:C,MATCH(Master_Data!A18,Engagement!A:A,0))</f>
        <v>3</v>
      </c>
      <c r="J18">
        <f>INDEX(Engagement!D:D,MATCH(Master_Data!A18,Engagement!A:A,0))</f>
        <v>1</v>
      </c>
      <c r="K18">
        <f>INDEX(Engagement!E:E,MATCH(Master_Data!A18,Engagement!A:A,0))</f>
        <v>2</v>
      </c>
      <c r="L18" t="str">
        <f>INDEX(Outcomes!B:B,MATCH(Master_Data!A18,Engagement!A:A,0))</f>
        <v>Yes</v>
      </c>
      <c r="M18" t="str">
        <f>INDEX(Outcomes!C:C,MATCH(Master_Data!A18,Engagement!A:A,0))</f>
        <v>Seeking</v>
      </c>
      <c r="N18" t="str">
        <f>INDEX(Outcomes!D:D,MATCH(Master_Data!A18,Engagement!A:A,0))</f>
        <v>NA</v>
      </c>
      <c r="O18" t="str">
        <f>INDEX(Outcomes!E:E,MATCH(Master_Data!A18,Engagement!A:A,0))</f>
        <v>NA</v>
      </c>
      <c r="P18">
        <f>INDEX(Outcomes!F:F,MATCH(Master_Data!A18,Engagement!A:A,0))</f>
        <v>0</v>
      </c>
      <c r="Q18">
        <f>INDEX(Outcomes!G:G,MATCH(Master_Data!A18,Engagement!A:A,0))</f>
        <v>0</v>
      </c>
      <c r="R18">
        <f t="shared" si="0"/>
        <v>9</v>
      </c>
      <c r="S18" t="str">
        <f t="shared" si="1"/>
        <v>Seeking</v>
      </c>
      <c r="T18" t="str">
        <f t="shared" si="2"/>
        <v>No Salary</v>
      </c>
    </row>
    <row r="19" spans="1:20" x14ac:dyDescent="0.35">
      <c r="A19" t="s">
        <v>62</v>
      </c>
      <c r="B19" t="str">
        <f>INDEX(Students!B:B,MATCH(Master_Data!A19,Students!A:A,0))</f>
        <v>Riley Clark</v>
      </c>
      <c r="C19" t="str">
        <f>INDEX(Students!C:C,MATCH(Master_Data!A19,Students!A:A,0))</f>
        <v>Marketing</v>
      </c>
      <c r="D19" t="str">
        <f>INDEX(Students!D:D,MATCH(Master_Data!A19,Students!A:A,0))</f>
        <v>Graduate</v>
      </c>
      <c r="E19">
        <f>INDEX(Students!E:E,MATCH(Master_Data!A19,Students!A:A,0))</f>
        <v>2026</v>
      </c>
      <c r="F19">
        <f>INDEX(Students!F:F,MATCH(Master_Data!A19,Students!A:A,0))</f>
        <v>3.57</v>
      </c>
      <c r="G19" t="str">
        <f>INDEX(Students!G:G,MATCH(Master_Data!A19,Students!A:A,0))</f>
        <v>No</v>
      </c>
      <c r="H19">
        <f>INDEX(Engagement!B:B,MATCH(Master_Data!A19,Engagement!A:A,0))</f>
        <v>2</v>
      </c>
      <c r="I19">
        <f>INDEX(Engagement!C:C,MATCH(Master_Data!A19,Engagement!A:A,0))</f>
        <v>2</v>
      </c>
      <c r="J19">
        <f>INDEX(Engagement!D:D,MATCH(Master_Data!A19,Engagement!A:A,0))</f>
        <v>1</v>
      </c>
      <c r="K19">
        <f>INDEX(Engagement!E:E,MATCH(Master_Data!A19,Engagement!A:A,0))</f>
        <v>1</v>
      </c>
      <c r="L19" t="str">
        <f>INDEX(Outcomes!B:B,MATCH(Master_Data!A19,Engagement!A:A,0))</f>
        <v>No</v>
      </c>
      <c r="M19" t="str">
        <f>INDEX(Outcomes!C:C,MATCH(Master_Data!A19,Engagement!A:A,0))</f>
        <v>Employed</v>
      </c>
      <c r="N19" t="str">
        <f>INDEX(Outcomes!D:D,MATCH(Master_Data!A19,Engagement!A:A,0))</f>
        <v>Full-Time</v>
      </c>
      <c r="O19" t="str">
        <f>INDEX(Outcomes!E:E,MATCH(Master_Data!A19,Engagement!A:A,0))</f>
        <v>Marketing</v>
      </c>
      <c r="P19">
        <f>INDEX(Outcomes!F:F,MATCH(Master_Data!A19,Engagement!A:A,0))</f>
        <v>62138</v>
      </c>
      <c r="Q19">
        <f>INDEX(Outcomes!G:G,MATCH(Master_Data!A19,Engagement!A:A,0))</f>
        <v>4</v>
      </c>
      <c r="R19">
        <f t="shared" si="0"/>
        <v>6</v>
      </c>
      <c r="S19" t="str">
        <f t="shared" si="1"/>
        <v>Positive Outcome</v>
      </c>
      <c r="T19" t="str">
        <f t="shared" si="2"/>
        <v>Between 50K and 75K</v>
      </c>
    </row>
    <row r="20" spans="1:20" x14ac:dyDescent="0.35">
      <c r="A20" t="s">
        <v>64</v>
      </c>
      <c r="B20" t="str">
        <f>INDEX(Students!B:B,MATCH(Master_Data!A20,Students!A:A,0))</f>
        <v>Casey Moore</v>
      </c>
      <c r="C20" t="str">
        <f>INDEX(Students!C:C,MATCH(Master_Data!A20,Students!A:A,0))</f>
        <v>Finance</v>
      </c>
      <c r="D20" t="str">
        <f>INDEX(Students!D:D,MATCH(Master_Data!A20,Students!A:A,0))</f>
        <v>Graduate</v>
      </c>
      <c r="E20">
        <f>INDEX(Students!E:E,MATCH(Master_Data!A20,Students!A:A,0))</f>
        <v>2027</v>
      </c>
      <c r="F20">
        <f>INDEX(Students!F:F,MATCH(Master_Data!A20,Students!A:A,0))</f>
        <v>3.44</v>
      </c>
      <c r="G20" t="str">
        <f>INDEX(Students!G:G,MATCH(Master_Data!A20,Students!A:A,0))</f>
        <v>Yes</v>
      </c>
      <c r="H20">
        <f>INDEX(Engagement!B:B,MATCH(Master_Data!A20,Engagement!A:A,0))</f>
        <v>3</v>
      </c>
      <c r="I20">
        <f>INDEX(Engagement!C:C,MATCH(Master_Data!A20,Engagement!A:A,0))</f>
        <v>2</v>
      </c>
      <c r="J20">
        <f>INDEX(Engagement!D:D,MATCH(Master_Data!A20,Engagement!A:A,0))</f>
        <v>2</v>
      </c>
      <c r="K20">
        <f>INDEX(Engagement!E:E,MATCH(Master_Data!A20,Engagement!A:A,0))</f>
        <v>1</v>
      </c>
      <c r="L20" t="str">
        <f>INDEX(Outcomes!B:B,MATCH(Master_Data!A20,Engagement!A:A,0))</f>
        <v>Yes</v>
      </c>
      <c r="M20" t="str">
        <f>INDEX(Outcomes!C:C,MATCH(Master_Data!A20,Engagement!A:A,0))</f>
        <v>Employed</v>
      </c>
      <c r="N20" t="str">
        <f>INDEX(Outcomes!D:D,MATCH(Master_Data!A20,Engagement!A:A,0))</f>
        <v>Full-Time</v>
      </c>
      <c r="O20" t="str">
        <f>INDEX(Outcomes!E:E,MATCH(Master_Data!A20,Engagement!A:A,0))</f>
        <v>Consulting</v>
      </c>
      <c r="P20">
        <f>INDEX(Outcomes!F:F,MATCH(Master_Data!A20,Engagement!A:A,0))</f>
        <v>69158</v>
      </c>
      <c r="Q20">
        <f>INDEX(Outcomes!G:G,MATCH(Master_Data!A20,Engagement!A:A,0))</f>
        <v>4</v>
      </c>
      <c r="R20">
        <f t="shared" si="0"/>
        <v>8</v>
      </c>
      <c r="S20" t="str">
        <f t="shared" si="1"/>
        <v>Positive Outcome</v>
      </c>
      <c r="T20" t="str">
        <f t="shared" si="2"/>
        <v>Between 50K and 75K</v>
      </c>
    </row>
    <row r="21" spans="1:20" x14ac:dyDescent="0.35">
      <c r="A21" t="s">
        <v>66</v>
      </c>
      <c r="B21" t="str">
        <f>INDEX(Students!B:B,MATCH(Master_Data!A21,Students!A:A,0))</f>
        <v>Skyler Harris</v>
      </c>
      <c r="C21" t="str">
        <f>INDEX(Students!C:C,MATCH(Master_Data!A21,Students!A:A,0))</f>
        <v>Business Analytics</v>
      </c>
      <c r="D21" t="str">
        <f>INDEX(Students!D:D,MATCH(Master_Data!A21,Students!A:A,0))</f>
        <v>Graduate</v>
      </c>
      <c r="E21">
        <f>INDEX(Students!E:E,MATCH(Master_Data!A21,Students!A:A,0))</f>
        <v>2027</v>
      </c>
      <c r="F21">
        <f>INDEX(Students!F:F,MATCH(Master_Data!A21,Students!A:A,0))</f>
        <v>3.8</v>
      </c>
      <c r="G21" t="str">
        <f>INDEX(Students!G:G,MATCH(Master_Data!A21,Students!A:A,0))</f>
        <v>Yes</v>
      </c>
      <c r="H21">
        <f>INDEX(Engagement!B:B,MATCH(Master_Data!A21,Engagement!A:A,0))</f>
        <v>6</v>
      </c>
      <c r="I21">
        <f>INDEX(Engagement!C:C,MATCH(Master_Data!A21,Engagement!A:A,0))</f>
        <v>2</v>
      </c>
      <c r="J21">
        <f>INDEX(Engagement!D:D,MATCH(Master_Data!A21,Engagement!A:A,0))</f>
        <v>1</v>
      </c>
      <c r="K21">
        <f>INDEX(Engagement!E:E,MATCH(Master_Data!A21,Engagement!A:A,0))</f>
        <v>2</v>
      </c>
      <c r="L21" t="str">
        <f>INDEX(Outcomes!B:B,MATCH(Master_Data!A21,Engagement!A:A,0))</f>
        <v>Yes</v>
      </c>
      <c r="M21" t="str">
        <f>INDEX(Outcomes!C:C,MATCH(Master_Data!A21,Engagement!A:A,0))</f>
        <v>Employed</v>
      </c>
      <c r="N21" t="str">
        <f>INDEX(Outcomes!D:D,MATCH(Master_Data!A21,Engagement!A:A,0))</f>
        <v>Part-Time</v>
      </c>
      <c r="O21" t="str">
        <f>INDEX(Outcomes!E:E,MATCH(Master_Data!A21,Engagement!A:A,0))</f>
        <v>Technology</v>
      </c>
      <c r="P21">
        <f>INDEX(Outcomes!F:F,MATCH(Master_Data!A21,Engagement!A:A,0))</f>
        <v>35830</v>
      </c>
      <c r="Q21">
        <f>INDEX(Outcomes!G:G,MATCH(Master_Data!A21,Engagement!A:A,0))</f>
        <v>2</v>
      </c>
      <c r="R21">
        <f t="shared" si="0"/>
        <v>11</v>
      </c>
      <c r="S21" t="str">
        <f t="shared" si="1"/>
        <v>Positive Outcome</v>
      </c>
      <c r="T21" t="str">
        <f t="shared" si="2"/>
        <v>Below 50K</v>
      </c>
    </row>
    <row r="22" spans="1:20" x14ac:dyDescent="0.35">
      <c r="A22" t="s">
        <v>68</v>
      </c>
      <c r="B22" t="str">
        <f>INDEX(Students!B:B,MATCH(Master_Data!A22,Students!A:A,0))</f>
        <v>Jordan Davis</v>
      </c>
      <c r="C22" t="str">
        <f>INDEX(Students!C:C,MATCH(Master_Data!A22,Students!A:A,0))</f>
        <v>Finance</v>
      </c>
      <c r="D22" t="str">
        <f>INDEX(Students!D:D,MATCH(Master_Data!A22,Students!A:A,0))</f>
        <v>Graduate</v>
      </c>
      <c r="E22">
        <f>INDEX(Students!E:E,MATCH(Master_Data!A22,Students!A:A,0))</f>
        <v>2026</v>
      </c>
      <c r="F22">
        <f>INDEX(Students!F:F,MATCH(Master_Data!A22,Students!A:A,0))</f>
        <v>3.38</v>
      </c>
      <c r="G22" t="str">
        <f>INDEX(Students!G:G,MATCH(Master_Data!A22,Students!A:A,0))</f>
        <v>Yes</v>
      </c>
      <c r="H22">
        <f>INDEX(Engagement!B:B,MATCH(Master_Data!A22,Engagement!A:A,0))</f>
        <v>1</v>
      </c>
      <c r="I22">
        <f>INDEX(Engagement!C:C,MATCH(Master_Data!A22,Engagement!A:A,0))</f>
        <v>0</v>
      </c>
      <c r="J22">
        <f>INDEX(Engagement!D:D,MATCH(Master_Data!A22,Engagement!A:A,0))</f>
        <v>1</v>
      </c>
      <c r="K22">
        <f>INDEX(Engagement!E:E,MATCH(Master_Data!A22,Engagement!A:A,0))</f>
        <v>3</v>
      </c>
      <c r="L22" t="str">
        <f>INDEX(Outcomes!B:B,MATCH(Master_Data!A22,Engagement!A:A,0))</f>
        <v>No</v>
      </c>
      <c r="M22" t="str">
        <f>INDEX(Outcomes!C:C,MATCH(Master_Data!A22,Engagement!A:A,0))</f>
        <v>Seeking</v>
      </c>
      <c r="N22" t="str">
        <f>INDEX(Outcomes!D:D,MATCH(Master_Data!A22,Engagement!A:A,0))</f>
        <v>NA</v>
      </c>
      <c r="O22" t="str">
        <f>INDEX(Outcomes!E:E,MATCH(Master_Data!A22,Engagement!A:A,0))</f>
        <v>NA</v>
      </c>
      <c r="P22">
        <f>INDEX(Outcomes!F:F,MATCH(Master_Data!A22,Engagement!A:A,0))</f>
        <v>0</v>
      </c>
      <c r="Q22">
        <f>INDEX(Outcomes!G:G,MATCH(Master_Data!A22,Engagement!A:A,0))</f>
        <v>0</v>
      </c>
      <c r="R22">
        <f t="shared" si="0"/>
        <v>5</v>
      </c>
      <c r="S22" t="str">
        <f t="shared" si="1"/>
        <v>Seeking</v>
      </c>
      <c r="T22" t="str">
        <f t="shared" si="2"/>
        <v>No Salary</v>
      </c>
    </row>
    <row r="23" spans="1:20" x14ac:dyDescent="0.35">
      <c r="A23" t="s">
        <v>70</v>
      </c>
      <c r="B23" t="str">
        <f>INDEX(Students!B:B,MATCH(Master_Data!A23,Students!A:A,0))</f>
        <v>Rowan Patel</v>
      </c>
      <c r="C23" t="str">
        <f>INDEX(Students!C:C,MATCH(Master_Data!A23,Students!A:A,0))</f>
        <v>Business Analytics</v>
      </c>
      <c r="D23" t="str">
        <f>INDEX(Students!D:D,MATCH(Master_Data!A23,Students!A:A,0))</f>
        <v>Graduate</v>
      </c>
      <c r="E23">
        <f>INDEX(Students!E:E,MATCH(Master_Data!A23,Students!A:A,0))</f>
        <v>2026</v>
      </c>
      <c r="F23">
        <f>INDEX(Students!F:F,MATCH(Master_Data!A23,Students!A:A,0))</f>
        <v>3.12</v>
      </c>
      <c r="G23" t="str">
        <f>INDEX(Students!G:G,MATCH(Master_Data!A23,Students!A:A,0))</f>
        <v>No</v>
      </c>
      <c r="H23">
        <f>INDEX(Engagement!B:B,MATCH(Master_Data!A23,Engagement!A:A,0))</f>
        <v>2</v>
      </c>
      <c r="I23">
        <f>INDEX(Engagement!C:C,MATCH(Master_Data!A23,Engagement!A:A,0))</f>
        <v>2</v>
      </c>
      <c r="J23">
        <f>INDEX(Engagement!D:D,MATCH(Master_Data!A23,Engagement!A:A,0))</f>
        <v>1</v>
      </c>
      <c r="K23">
        <f>INDEX(Engagement!E:E,MATCH(Master_Data!A23,Engagement!A:A,0))</f>
        <v>2</v>
      </c>
      <c r="L23" t="str">
        <f>INDEX(Outcomes!B:B,MATCH(Master_Data!A23,Engagement!A:A,0))</f>
        <v>Yes</v>
      </c>
      <c r="M23" t="str">
        <f>INDEX(Outcomes!C:C,MATCH(Master_Data!A23,Engagement!A:A,0))</f>
        <v>Employed</v>
      </c>
      <c r="N23" t="str">
        <f>INDEX(Outcomes!D:D,MATCH(Master_Data!A23,Engagement!A:A,0))</f>
        <v>Full-Time</v>
      </c>
      <c r="O23" t="str">
        <f>INDEX(Outcomes!E:E,MATCH(Master_Data!A23,Engagement!A:A,0))</f>
        <v>Technology</v>
      </c>
      <c r="P23">
        <f>INDEX(Outcomes!F:F,MATCH(Master_Data!A23,Engagement!A:A,0))</f>
        <v>78247</v>
      </c>
      <c r="Q23">
        <f>INDEX(Outcomes!G:G,MATCH(Master_Data!A23,Engagement!A:A,0))</f>
        <v>1</v>
      </c>
      <c r="R23">
        <f t="shared" si="0"/>
        <v>7</v>
      </c>
      <c r="S23" t="str">
        <f t="shared" si="1"/>
        <v>Positive Outcome</v>
      </c>
      <c r="T23" t="str">
        <f t="shared" si="2"/>
        <v>Above 75K</v>
      </c>
    </row>
    <row r="24" spans="1:20" x14ac:dyDescent="0.35">
      <c r="A24" t="s">
        <v>72</v>
      </c>
      <c r="B24" t="str">
        <f>INDEX(Students!B:B,MATCH(Master_Data!A24,Students!A:A,0))</f>
        <v>Quinn Miller</v>
      </c>
      <c r="C24" t="str">
        <f>INDEX(Students!C:C,MATCH(Master_Data!A24,Students!A:A,0))</f>
        <v>Marketing</v>
      </c>
      <c r="D24" t="str">
        <f>INDEX(Students!D:D,MATCH(Master_Data!A24,Students!A:A,0))</f>
        <v>Graduate</v>
      </c>
      <c r="E24">
        <f>INDEX(Students!E:E,MATCH(Master_Data!A24,Students!A:A,0))</f>
        <v>2027</v>
      </c>
      <c r="F24">
        <f>INDEX(Students!F:F,MATCH(Master_Data!A24,Students!A:A,0))</f>
        <v>3.66</v>
      </c>
      <c r="G24" t="str">
        <f>INDEX(Students!G:G,MATCH(Master_Data!A24,Students!A:A,0))</f>
        <v>No</v>
      </c>
      <c r="H24">
        <f>INDEX(Engagement!B:B,MATCH(Master_Data!A24,Engagement!A:A,0))</f>
        <v>3</v>
      </c>
      <c r="I24">
        <f>INDEX(Engagement!C:C,MATCH(Master_Data!A24,Engagement!A:A,0))</f>
        <v>3</v>
      </c>
      <c r="J24">
        <f>INDEX(Engagement!D:D,MATCH(Master_Data!A24,Engagement!A:A,0))</f>
        <v>1</v>
      </c>
      <c r="K24">
        <f>INDEX(Engagement!E:E,MATCH(Master_Data!A24,Engagement!A:A,0))</f>
        <v>0</v>
      </c>
      <c r="L24" t="str">
        <f>INDEX(Outcomes!B:B,MATCH(Master_Data!A24,Engagement!A:A,0))</f>
        <v>Yes</v>
      </c>
      <c r="M24" t="str">
        <f>INDEX(Outcomes!C:C,MATCH(Master_Data!A24,Engagement!A:A,0))</f>
        <v>Seeking</v>
      </c>
      <c r="N24" t="str">
        <f>INDEX(Outcomes!D:D,MATCH(Master_Data!A24,Engagement!A:A,0))</f>
        <v>NA</v>
      </c>
      <c r="O24" t="str">
        <f>INDEX(Outcomes!E:E,MATCH(Master_Data!A24,Engagement!A:A,0))</f>
        <v>NA</v>
      </c>
      <c r="P24">
        <f>INDEX(Outcomes!F:F,MATCH(Master_Data!A24,Engagement!A:A,0))</f>
        <v>0</v>
      </c>
      <c r="Q24">
        <f>INDEX(Outcomes!G:G,MATCH(Master_Data!A24,Engagement!A:A,0))</f>
        <v>0</v>
      </c>
      <c r="R24">
        <f t="shared" si="0"/>
        <v>7</v>
      </c>
      <c r="S24" t="str">
        <f t="shared" si="1"/>
        <v>Seeking</v>
      </c>
      <c r="T24" t="str">
        <f t="shared" si="2"/>
        <v>No Salary</v>
      </c>
    </row>
    <row r="25" spans="1:20" x14ac:dyDescent="0.35">
      <c r="A25" t="s">
        <v>74</v>
      </c>
      <c r="B25" t="str">
        <f>INDEX(Students!B:B,MATCH(Master_Data!A25,Students!A:A,0))</f>
        <v>Parker White</v>
      </c>
      <c r="C25" t="str">
        <f>INDEX(Students!C:C,MATCH(Master_Data!A25,Students!A:A,0))</f>
        <v>Marketing</v>
      </c>
      <c r="D25" t="str">
        <f>INDEX(Students!D:D,MATCH(Master_Data!A25,Students!A:A,0))</f>
        <v>Graduate</v>
      </c>
      <c r="E25">
        <f>INDEX(Students!E:E,MATCH(Master_Data!A25,Students!A:A,0))</f>
        <v>2026</v>
      </c>
      <c r="F25">
        <f>INDEX(Students!F:F,MATCH(Master_Data!A25,Students!A:A,0))</f>
        <v>2.88</v>
      </c>
      <c r="G25" t="str">
        <f>INDEX(Students!G:G,MATCH(Master_Data!A25,Students!A:A,0))</f>
        <v>Yes</v>
      </c>
      <c r="H25">
        <f>INDEX(Engagement!B:B,MATCH(Master_Data!A25,Engagement!A:A,0))</f>
        <v>4</v>
      </c>
      <c r="I25">
        <f>INDEX(Engagement!C:C,MATCH(Master_Data!A25,Engagement!A:A,0))</f>
        <v>2</v>
      </c>
      <c r="J25">
        <f>INDEX(Engagement!D:D,MATCH(Master_Data!A25,Engagement!A:A,0))</f>
        <v>1</v>
      </c>
      <c r="K25">
        <f>INDEX(Engagement!E:E,MATCH(Master_Data!A25,Engagement!A:A,0))</f>
        <v>2</v>
      </c>
      <c r="L25" t="str">
        <f>INDEX(Outcomes!B:B,MATCH(Master_Data!A25,Engagement!A:A,0))</f>
        <v>Yes</v>
      </c>
      <c r="M25" t="str">
        <f>INDEX(Outcomes!C:C,MATCH(Master_Data!A25,Engagement!A:A,0))</f>
        <v>Seeking</v>
      </c>
      <c r="N25" t="str">
        <f>INDEX(Outcomes!D:D,MATCH(Master_Data!A25,Engagement!A:A,0))</f>
        <v>NA</v>
      </c>
      <c r="O25" t="str">
        <f>INDEX(Outcomes!E:E,MATCH(Master_Data!A25,Engagement!A:A,0))</f>
        <v>NA</v>
      </c>
      <c r="P25">
        <f>INDEX(Outcomes!F:F,MATCH(Master_Data!A25,Engagement!A:A,0))</f>
        <v>0</v>
      </c>
      <c r="Q25">
        <f>INDEX(Outcomes!G:G,MATCH(Master_Data!A25,Engagement!A:A,0))</f>
        <v>0</v>
      </c>
      <c r="R25">
        <f t="shared" si="0"/>
        <v>9</v>
      </c>
      <c r="S25" t="str">
        <f t="shared" si="1"/>
        <v>Seeking</v>
      </c>
      <c r="T25" t="str">
        <f t="shared" si="2"/>
        <v>No Salary</v>
      </c>
    </row>
    <row r="26" spans="1:20" x14ac:dyDescent="0.35">
      <c r="A26" t="s">
        <v>76</v>
      </c>
      <c r="B26" t="str">
        <f>INDEX(Students!B:B,MATCH(Master_Data!A26,Students!A:A,0))</f>
        <v>Rowan Davis</v>
      </c>
      <c r="C26" t="str">
        <f>INDEX(Students!C:C,MATCH(Master_Data!A26,Students!A:A,0))</f>
        <v>Data Science</v>
      </c>
      <c r="D26" t="str">
        <f>INDEX(Students!D:D,MATCH(Master_Data!A26,Students!A:A,0))</f>
        <v>Undergraduate</v>
      </c>
      <c r="E26">
        <f>INDEX(Students!E:E,MATCH(Master_Data!A26,Students!A:A,0))</f>
        <v>2027</v>
      </c>
      <c r="F26">
        <f>INDEX(Students!F:F,MATCH(Master_Data!A26,Students!A:A,0))</f>
        <v>2.87</v>
      </c>
      <c r="G26" t="str">
        <f>INDEX(Students!G:G,MATCH(Master_Data!A26,Students!A:A,0))</f>
        <v>Yes</v>
      </c>
      <c r="H26">
        <f>INDEX(Engagement!B:B,MATCH(Master_Data!A26,Engagement!A:A,0))</f>
        <v>4</v>
      </c>
      <c r="I26">
        <f>INDEX(Engagement!C:C,MATCH(Master_Data!A26,Engagement!A:A,0))</f>
        <v>1</v>
      </c>
      <c r="J26">
        <f>INDEX(Engagement!D:D,MATCH(Master_Data!A26,Engagement!A:A,0))</f>
        <v>0</v>
      </c>
      <c r="K26">
        <f>INDEX(Engagement!E:E,MATCH(Master_Data!A26,Engagement!A:A,0))</f>
        <v>2</v>
      </c>
      <c r="L26" t="str">
        <f>INDEX(Outcomes!B:B,MATCH(Master_Data!A26,Engagement!A:A,0))</f>
        <v>No</v>
      </c>
      <c r="M26" t="str">
        <f>INDEX(Outcomes!C:C,MATCH(Master_Data!A26,Engagement!A:A,0))</f>
        <v>Employed</v>
      </c>
      <c r="N26" t="str">
        <f>INDEX(Outcomes!D:D,MATCH(Master_Data!A26,Engagement!A:A,0))</f>
        <v>Full-Time</v>
      </c>
      <c r="O26" t="str">
        <f>INDEX(Outcomes!E:E,MATCH(Master_Data!A26,Engagement!A:A,0))</f>
        <v>Finance</v>
      </c>
      <c r="P26">
        <f>INDEX(Outcomes!F:F,MATCH(Master_Data!A26,Engagement!A:A,0))</f>
        <v>67566</v>
      </c>
      <c r="Q26">
        <f>INDEX(Outcomes!G:G,MATCH(Master_Data!A26,Engagement!A:A,0))</f>
        <v>1</v>
      </c>
      <c r="R26">
        <f t="shared" si="0"/>
        <v>7</v>
      </c>
      <c r="S26" t="str">
        <f t="shared" si="1"/>
        <v>Positive Outcome</v>
      </c>
      <c r="T26" t="str">
        <f t="shared" si="2"/>
        <v>Between 50K and 75K</v>
      </c>
    </row>
    <row r="27" spans="1:20" x14ac:dyDescent="0.35">
      <c r="A27" t="s">
        <v>77</v>
      </c>
      <c r="B27" t="str">
        <f>INDEX(Students!B:B,MATCH(Master_Data!A27,Students!A:A,0))</f>
        <v>Jordan Thomas</v>
      </c>
      <c r="C27" t="str">
        <f>INDEX(Students!C:C,MATCH(Master_Data!A27,Students!A:A,0))</f>
        <v>Business Analytics</v>
      </c>
      <c r="D27" t="str">
        <f>INDEX(Students!D:D,MATCH(Master_Data!A27,Students!A:A,0))</f>
        <v>Undergraduate</v>
      </c>
      <c r="E27">
        <f>INDEX(Students!E:E,MATCH(Master_Data!A27,Students!A:A,0))</f>
        <v>2027</v>
      </c>
      <c r="F27">
        <f>INDEX(Students!F:F,MATCH(Master_Data!A27,Students!A:A,0))</f>
        <v>3.06</v>
      </c>
      <c r="G27" t="str">
        <f>INDEX(Students!G:G,MATCH(Master_Data!A27,Students!A:A,0))</f>
        <v>Yes</v>
      </c>
      <c r="H27">
        <f>INDEX(Engagement!B:B,MATCH(Master_Data!A27,Engagement!A:A,0))</f>
        <v>2</v>
      </c>
      <c r="I27">
        <f>INDEX(Engagement!C:C,MATCH(Master_Data!A27,Engagement!A:A,0))</f>
        <v>3</v>
      </c>
      <c r="J27">
        <f>INDEX(Engagement!D:D,MATCH(Master_Data!A27,Engagement!A:A,0))</f>
        <v>3</v>
      </c>
      <c r="K27">
        <f>INDEX(Engagement!E:E,MATCH(Master_Data!A27,Engagement!A:A,0))</f>
        <v>0</v>
      </c>
      <c r="L27" t="str">
        <f>INDEX(Outcomes!B:B,MATCH(Master_Data!A27,Engagement!A:A,0))</f>
        <v>Yes</v>
      </c>
      <c r="M27" t="str">
        <f>INDEX(Outcomes!C:C,MATCH(Master_Data!A27,Engagement!A:A,0))</f>
        <v>Employed</v>
      </c>
      <c r="N27" t="str">
        <f>INDEX(Outcomes!D:D,MATCH(Master_Data!A27,Engagement!A:A,0))</f>
        <v>Part-Time</v>
      </c>
      <c r="O27" t="str">
        <f>INDEX(Outcomes!E:E,MATCH(Master_Data!A27,Engagement!A:A,0))</f>
        <v>Technology</v>
      </c>
      <c r="P27">
        <f>INDEX(Outcomes!F:F,MATCH(Master_Data!A27,Engagement!A:A,0))</f>
        <v>37464</v>
      </c>
      <c r="Q27">
        <f>INDEX(Outcomes!G:G,MATCH(Master_Data!A27,Engagement!A:A,0))</f>
        <v>2</v>
      </c>
      <c r="R27">
        <f t="shared" si="0"/>
        <v>8</v>
      </c>
      <c r="S27" t="str">
        <f t="shared" si="1"/>
        <v>Positive Outcome</v>
      </c>
      <c r="T27" t="str">
        <f t="shared" si="2"/>
        <v>Below 50K</v>
      </c>
    </row>
    <row r="28" spans="1:20" x14ac:dyDescent="0.35">
      <c r="A28" t="s">
        <v>79</v>
      </c>
      <c r="B28" t="str">
        <f>INDEX(Students!B:B,MATCH(Master_Data!A28,Students!A:A,0))</f>
        <v>Elliot Walker</v>
      </c>
      <c r="C28" t="str">
        <f>INDEX(Students!C:C,MATCH(Master_Data!A28,Students!A:A,0))</f>
        <v>Economics</v>
      </c>
      <c r="D28" t="str">
        <f>INDEX(Students!D:D,MATCH(Master_Data!A28,Students!A:A,0))</f>
        <v>Graduate</v>
      </c>
      <c r="E28">
        <f>INDEX(Students!E:E,MATCH(Master_Data!A28,Students!A:A,0))</f>
        <v>2027</v>
      </c>
      <c r="F28">
        <f>INDEX(Students!F:F,MATCH(Master_Data!A28,Students!A:A,0))</f>
        <v>3.03</v>
      </c>
      <c r="G28" t="str">
        <f>INDEX(Students!G:G,MATCH(Master_Data!A28,Students!A:A,0))</f>
        <v>Yes</v>
      </c>
      <c r="H28">
        <f>INDEX(Engagement!B:B,MATCH(Master_Data!A28,Engagement!A:A,0))</f>
        <v>5</v>
      </c>
      <c r="I28">
        <f>INDEX(Engagement!C:C,MATCH(Master_Data!A28,Engagement!A:A,0))</f>
        <v>2</v>
      </c>
      <c r="J28">
        <f>INDEX(Engagement!D:D,MATCH(Master_Data!A28,Engagement!A:A,0))</f>
        <v>2</v>
      </c>
      <c r="K28">
        <f>INDEX(Engagement!E:E,MATCH(Master_Data!A28,Engagement!A:A,0))</f>
        <v>2</v>
      </c>
      <c r="L28" t="str">
        <f>INDEX(Outcomes!B:B,MATCH(Master_Data!A28,Engagement!A:A,0))</f>
        <v>Yes</v>
      </c>
      <c r="M28" t="str">
        <f>INDEX(Outcomes!C:C,MATCH(Master_Data!A28,Engagement!A:A,0))</f>
        <v>Employed</v>
      </c>
      <c r="N28" t="str">
        <f>INDEX(Outcomes!D:D,MATCH(Master_Data!A28,Engagement!A:A,0))</f>
        <v>Full-Time</v>
      </c>
      <c r="O28" t="str">
        <f>INDEX(Outcomes!E:E,MATCH(Master_Data!A28,Engagement!A:A,0))</f>
        <v>Finance</v>
      </c>
      <c r="P28">
        <f>INDEX(Outcomes!F:F,MATCH(Master_Data!A28,Engagement!A:A,0))</f>
        <v>75574</v>
      </c>
      <c r="Q28">
        <f>INDEX(Outcomes!G:G,MATCH(Master_Data!A28,Engagement!A:A,0))</f>
        <v>1</v>
      </c>
      <c r="R28">
        <f t="shared" si="0"/>
        <v>11</v>
      </c>
      <c r="S28" t="str">
        <f t="shared" si="1"/>
        <v>Positive Outcome</v>
      </c>
      <c r="T28" t="str">
        <f t="shared" si="2"/>
        <v>Above 75K</v>
      </c>
    </row>
    <row r="29" spans="1:20" x14ac:dyDescent="0.35">
      <c r="A29" t="s">
        <v>81</v>
      </c>
      <c r="B29" t="str">
        <f>INDEX(Students!B:B,MATCH(Master_Data!A29,Students!A:A,0))</f>
        <v>Quinn Moore</v>
      </c>
      <c r="C29" t="str">
        <f>INDEX(Students!C:C,MATCH(Master_Data!A29,Students!A:A,0))</f>
        <v>Economics</v>
      </c>
      <c r="D29" t="str">
        <f>INDEX(Students!D:D,MATCH(Master_Data!A29,Students!A:A,0))</f>
        <v>Graduate</v>
      </c>
      <c r="E29">
        <f>INDEX(Students!E:E,MATCH(Master_Data!A29,Students!A:A,0))</f>
        <v>2027</v>
      </c>
      <c r="F29">
        <f>INDEX(Students!F:F,MATCH(Master_Data!A29,Students!A:A,0))</f>
        <v>3.61</v>
      </c>
      <c r="G29" t="str">
        <f>INDEX(Students!G:G,MATCH(Master_Data!A29,Students!A:A,0))</f>
        <v>No</v>
      </c>
      <c r="H29">
        <f>INDEX(Engagement!B:B,MATCH(Master_Data!A29,Engagement!A:A,0))</f>
        <v>5</v>
      </c>
      <c r="I29">
        <f>INDEX(Engagement!C:C,MATCH(Master_Data!A29,Engagement!A:A,0))</f>
        <v>2</v>
      </c>
      <c r="J29">
        <f>INDEX(Engagement!D:D,MATCH(Master_Data!A29,Engagement!A:A,0))</f>
        <v>1</v>
      </c>
      <c r="K29">
        <f>INDEX(Engagement!E:E,MATCH(Master_Data!A29,Engagement!A:A,0))</f>
        <v>2</v>
      </c>
      <c r="L29" t="str">
        <f>INDEX(Outcomes!B:B,MATCH(Master_Data!A29,Engagement!A:A,0))</f>
        <v>Yes</v>
      </c>
      <c r="M29" t="str">
        <f>INDEX(Outcomes!C:C,MATCH(Master_Data!A29,Engagement!A:A,0))</f>
        <v>Employed</v>
      </c>
      <c r="N29" t="str">
        <f>INDEX(Outcomes!D:D,MATCH(Master_Data!A29,Engagement!A:A,0))</f>
        <v>Internship</v>
      </c>
      <c r="O29" t="str">
        <f>INDEX(Outcomes!E:E,MATCH(Master_Data!A29,Engagement!A:A,0))</f>
        <v>Technology</v>
      </c>
      <c r="P29">
        <f>INDEX(Outcomes!F:F,MATCH(Master_Data!A29,Engagement!A:A,0))</f>
        <v>31898</v>
      </c>
      <c r="Q29">
        <f>INDEX(Outcomes!G:G,MATCH(Master_Data!A29,Engagement!A:A,0))</f>
        <v>3</v>
      </c>
      <c r="R29">
        <f t="shared" si="0"/>
        <v>10</v>
      </c>
      <c r="S29" t="str">
        <f t="shared" si="1"/>
        <v>Positive Outcome</v>
      </c>
      <c r="T29" t="str">
        <f t="shared" si="2"/>
        <v>Below 50K</v>
      </c>
    </row>
    <row r="30" spans="1:20" x14ac:dyDescent="0.35">
      <c r="A30" t="s">
        <v>83</v>
      </c>
      <c r="B30" t="str">
        <f>INDEX(Students!B:B,MATCH(Master_Data!A30,Students!A:A,0))</f>
        <v>Morgan Johnson</v>
      </c>
      <c r="C30" t="str">
        <f>INDEX(Students!C:C,MATCH(Master_Data!A30,Students!A:A,0))</f>
        <v>Computer Science</v>
      </c>
      <c r="D30" t="str">
        <f>INDEX(Students!D:D,MATCH(Master_Data!A30,Students!A:A,0))</f>
        <v>Undergraduate</v>
      </c>
      <c r="E30">
        <f>INDEX(Students!E:E,MATCH(Master_Data!A30,Students!A:A,0))</f>
        <v>2027</v>
      </c>
      <c r="F30">
        <f>INDEX(Students!F:F,MATCH(Master_Data!A30,Students!A:A,0))</f>
        <v>3.1</v>
      </c>
      <c r="G30" t="str">
        <f>INDEX(Students!G:G,MATCH(Master_Data!A30,Students!A:A,0))</f>
        <v>Yes</v>
      </c>
      <c r="H30">
        <f>INDEX(Engagement!B:B,MATCH(Master_Data!A30,Engagement!A:A,0))</f>
        <v>4</v>
      </c>
      <c r="I30">
        <f>INDEX(Engagement!C:C,MATCH(Master_Data!A30,Engagement!A:A,0))</f>
        <v>1</v>
      </c>
      <c r="J30">
        <f>INDEX(Engagement!D:D,MATCH(Master_Data!A30,Engagement!A:A,0))</f>
        <v>2</v>
      </c>
      <c r="K30">
        <f>INDEX(Engagement!E:E,MATCH(Master_Data!A30,Engagement!A:A,0))</f>
        <v>1</v>
      </c>
      <c r="L30" t="str">
        <f>INDEX(Outcomes!B:B,MATCH(Master_Data!A30,Engagement!A:A,0))</f>
        <v>Yes</v>
      </c>
      <c r="M30" t="str">
        <f>INDEX(Outcomes!C:C,MATCH(Master_Data!A30,Engagement!A:A,0))</f>
        <v>Employed</v>
      </c>
      <c r="N30" t="str">
        <f>INDEX(Outcomes!D:D,MATCH(Master_Data!A30,Engagement!A:A,0))</f>
        <v>Full-Time</v>
      </c>
      <c r="O30" t="str">
        <f>INDEX(Outcomes!E:E,MATCH(Master_Data!A30,Engagement!A:A,0))</f>
        <v>Consulting</v>
      </c>
      <c r="P30">
        <f>INDEX(Outcomes!F:F,MATCH(Master_Data!A30,Engagement!A:A,0))</f>
        <v>69705</v>
      </c>
      <c r="Q30">
        <f>INDEX(Outcomes!G:G,MATCH(Master_Data!A30,Engagement!A:A,0))</f>
        <v>2</v>
      </c>
      <c r="R30">
        <f t="shared" si="0"/>
        <v>8</v>
      </c>
      <c r="S30" t="str">
        <f t="shared" si="1"/>
        <v>Positive Outcome</v>
      </c>
      <c r="T30" t="str">
        <f t="shared" si="2"/>
        <v>Between 50K and 75K</v>
      </c>
    </row>
    <row r="31" spans="1:20" x14ac:dyDescent="0.35">
      <c r="A31" t="s">
        <v>85</v>
      </c>
      <c r="B31" t="str">
        <f>INDEX(Students!B:B,MATCH(Master_Data!A31,Students!A:A,0))</f>
        <v>Hayden Patel</v>
      </c>
      <c r="C31" t="str">
        <f>INDEX(Students!C:C,MATCH(Master_Data!A31,Students!A:A,0))</f>
        <v>Economics</v>
      </c>
      <c r="D31" t="str">
        <f>INDEX(Students!D:D,MATCH(Master_Data!A31,Students!A:A,0))</f>
        <v>Undergraduate</v>
      </c>
      <c r="E31">
        <f>INDEX(Students!E:E,MATCH(Master_Data!A31,Students!A:A,0))</f>
        <v>2026</v>
      </c>
      <c r="F31">
        <f>INDEX(Students!F:F,MATCH(Master_Data!A31,Students!A:A,0))</f>
        <v>3.91</v>
      </c>
      <c r="G31" t="str">
        <f>INDEX(Students!G:G,MATCH(Master_Data!A31,Students!A:A,0))</f>
        <v>No</v>
      </c>
      <c r="H31">
        <f>INDEX(Engagement!B:B,MATCH(Master_Data!A31,Engagement!A:A,0))</f>
        <v>4</v>
      </c>
      <c r="I31">
        <f>INDEX(Engagement!C:C,MATCH(Master_Data!A31,Engagement!A:A,0))</f>
        <v>2</v>
      </c>
      <c r="J31">
        <f>INDEX(Engagement!D:D,MATCH(Master_Data!A31,Engagement!A:A,0))</f>
        <v>1</v>
      </c>
      <c r="K31">
        <f>INDEX(Engagement!E:E,MATCH(Master_Data!A31,Engagement!A:A,0))</f>
        <v>0</v>
      </c>
      <c r="L31" t="str">
        <f>INDEX(Outcomes!B:B,MATCH(Master_Data!A31,Engagement!A:A,0))</f>
        <v>Yes</v>
      </c>
      <c r="M31" t="str">
        <f>INDEX(Outcomes!C:C,MATCH(Master_Data!A31,Engagement!A:A,0))</f>
        <v>Employed</v>
      </c>
      <c r="N31" t="str">
        <f>INDEX(Outcomes!D:D,MATCH(Master_Data!A31,Engagement!A:A,0))</f>
        <v>Full-Time</v>
      </c>
      <c r="O31" t="str">
        <f>INDEX(Outcomes!E:E,MATCH(Master_Data!A31,Engagement!A:A,0))</f>
        <v>Consulting</v>
      </c>
      <c r="P31">
        <f>INDEX(Outcomes!F:F,MATCH(Master_Data!A31,Engagement!A:A,0))</f>
        <v>74550</v>
      </c>
      <c r="Q31">
        <f>INDEX(Outcomes!G:G,MATCH(Master_Data!A31,Engagement!A:A,0))</f>
        <v>2</v>
      </c>
      <c r="R31">
        <f t="shared" si="0"/>
        <v>7</v>
      </c>
      <c r="S31" t="str">
        <f t="shared" si="1"/>
        <v>Positive Outcome</v>
      </c>
      <c r="T31" t="str">
        <f t="shared" si="2"/>
        <v>Between 50K and 75K</v>
      </c>
    </row>
    <row r="32" spans="1:20" x14ac:dyDescent="0.35">
      <c r="A32" t="s">
        <v>87</v>
      </c>
      <c r="B32" t="str">
        <f>INDEX(Students!B:B,MATCH(Master_Data!A32,Students!A:A,0))</f>
        <v>Rowan Lee</v>
      </c>
      <c r="C32" t="str">
        <f>INDEX(Students!C:C,MATCH(Master_Data!A32,Students!A:A,0))</f>
        <v>Business Analytics</v>
      </c>
      <c r="D32" t="str">
        <f>INDEX(Students!D:D,MATCH(Master_Data!A32,Students!A:A,0))</f>
        <v>Graduate</v>
      </c>
      <c r="E32">
        <f>INDEX(Students!E:E,MATCH(Master_Data!A32,Students!A:A,0))</f>
        <v>2027</v>
      </c>
      <c r="F32">
        <f>INDEX(Students!F:F,MATCH(Master_Data!A32,Students!A:A,0))</f>
        <v>3.96</v>
      </c>
      <c r="G32" t="str">
        <f>INDEX(Students!G:G,MATCH(Master_Data!A32,Students!A:A,0))</f>
        <v>No</v>
      </c>
      <c r="H32">
        <f>INDEX(Engagement!B:B,MATCH(Master_Data!A32,Engagement!A:A,0))</f>
        <v>6</v>
      </c>
      <c r="I32">
        <f>INDEX(Engagement!C:C,MATCH(Master_Data!A32,Engagement!A:A,0))</f>
        <v>3</v>
      </c>
      <c r="J32">
        <f>INDEX(Engagement!D:D,MATCH(Master_Data!A32,Engagement!A:A,0))</f>
        <v>0</v>
      </c>
      <c r="K32">
        <f>INDEX(Engagement!E:E,MATCH(Master_Data!A32,Engagement!A:A,0))</f>
        <v>2</v>
      </c>
      <c r="L32" t="str">
        <f>INDEX(Outcomes!B:B,MATCH(Master_Data!A32,Engagement!A:A,0))</f>
        <v>Yes</v>
      </c>
      <c r="M32" t="str">
        <f>INDEX(Outcomes!C:C,MATCH(Master_Data!A32,Engagement!A:A,0))</f>
        <v>Employed</v>
      </c>
      <c r="N32" t="str">
        <f>INDEX(Outcomes!D:D,MATCH(Master_Data!A32,Engagement!A:A,0))</f>
        <v>Internship</v>
      </c>
      <c r="O32" t="str">
        <f>INDEX(Outcomes!E:E,MATCH(Master_Data!A32,Engagement!A:A,0))</f>
        <v>Consulting</v>
      </c>
      <c r="P32">
        <f>INDEX(Outcomes!F:F,MATCH(Master_Data!A32,Engagement!A:A,0))</f>
        <v>37590</v>
      </c>
      <c r="Q32">
        <f>INDEX(Outcomes!G:G,MATCH(Master_Data!A32,Engagement!A:A,0))</f>
        <v>3</v>
      </c>
      <c r="R32">
        <f t="shared" si="0"/>
        <v>11</v>
      </c>
      <c r="S32" t="str">
        <f t="shared" si="1"/>
        <v>Positive Outcome</v>
      </c>
      <c r="T32" t="str">
        <f t="shared" si="2"/>
        <v>Below 50K</v>
      </c>
    </row>
    <row r="33" spans="1:20" x14ac:dyDescent="0.35">
      <c r="A33" t="s">
        <v>88</v>
      </c>
      <c r="B33" t="str">
        <f>INDEX(Students!B:B,MATCH(Master_Data!A33,Students!A:A,0))</f>
        <v>Cameron Garcia</v>
      </c>
      <c r="C33" t="str">
        <f>INDEX(Students!C:C,MATCH(Master_Data!A33,Students!A:A,0))</f>
        <v>Computer Science</v>
      </c>
      <c r="D33" t="str">
        <f>INDEX(Students!D:D,MATCH(Master_Data!A33,Students!A:A,0))</f>
        <v>Graduate</v>
      </c>
      <c r="E33">
        <f>INDEX(Students!E:E,MATCH(Master_Data!A33,Students!A:A,0))</f>
        <v>2027</v>
      </c>
      <c r="F33">
        <f>INDEX(Students!F:F,MATCH(Master_Data!A33,Students!A:A,0))</f>
        <v>3.88</v>
      </c>
      <c r="G33" t="str">
        <f>INDEX(Students!G:G,MATCH(Master_Data!A33,Students!A:A,0))</f>
        <v>Yes</v>
      </c>
      <c r="H33">
        <f>INDEX(Engagement!B:B,MATCH(Master_Data!A33,Engagement!A:A,0))</f>
        <v>3</v>
      </c>
      <c r="I33">
        <f>INDEX(Engagement!C:C,MATCH(Master_Data!A33,Engagement!A:A,0))</f>
        <v>4</v>
      </c>
      <c r="J33">
        <f>INDEX(Engagement!D:D,MATCH(Master_Data!A33,Engagement!A:A,0))</f>
        <v>1</v>
      </c>
      <c r="K33">
        <f>INDEX(Engagement!E:E,MATCH(Master_Data!A33,Engagement!A:A,0))</f>
        <v>2</v>
      </c>
      <c r="L33" t="str">
        <f>INDEX(Outcomes!B:B,MATCH(Master_Data!A33,Engagement!A:A,0))</f>
        <v>Yes</v>
      </c>
      <c r="M33" t="str">
        <f>INDEX(Outcomes!C:C,MATCH(Master_Data!A33,Engagement!A:A,0))</f>
        <v>Employed</v>
      </c>
      <c r="N33" t="str">
        <f>INDEX(Outcomes!D:D,MATCH(Master_Data!A33,Engagement!A:A,0))</f>
        <v>Part-Time</v>
      </c>
      <c r="O33" t="str">
        <f>INDEX(Outcomes!E:E,MATCH(Master_Data!A33,Engagement!A:A,0))</f>
        <v>Healthcare</v>
      </c>
      <c r="P33">
        <f>INDEX(Outcomes!F:F,MATCH(Master_Data!A33,Engagement!A:A,0))</f>
        <v>44598</v>
      </c>
      <c r="Q33">
        <f>INDEX(Outcomes!G:G,MATCH(Master_Data!A33,Engagement!A:A,0))</f>
        <v>3</v>
      </c>
      <c r="R33">
        <f t="shared" si="0"/>
        <v>10</v>
      </c>
      <c r="S33" t="str">
        <f t="shared" si="1"/>
        <v>Positive Outcome</v>
      </c>
      <c r="T33" t="str">
        <f t="shared" si="2"/>
        <v>Below 50K</v>
      </c>
    </row>
    <row r="34" spans="1:20" x14ac:dyDescent="0.35">
      <c r="A34" t="s">
        <v>90</v>
      </c>
      <c r="B34" t="str">
        <f>INDEX(Students!B:B,MATCH(Master_Data!A34,Students!A:A,0))</f>
        <v>Alex Martin</v>
      </c>
      <c r="C34" t="str">
        <f>INDEX(Students!C:C,MATCH(Master_Data!A34,Students!A:A,0))</f>
        <v>Computer Science</v>
      </c>
      <c r="D34" t="str">
        <f>INDEX(Students!D:D,MATCH(Master_Data!A34,Students!A:A,0))</f>
        <v>Graduate</v>
      </c>
      <c r="E34">
        <f>INDEX(Students!E:E,MATCH(Master_Data!A34,Students!A:A,0))</f>
        <v>2026</v>
      </c>
      <c r="F34">
        <f>INDEX(Students!F:F,MATCH(Master_Data!A34,Students!A:A,0))</f>
        <v>3.31</v>
      </c>
      <c r="G34" t="str">
        <f>INDEX(Students!G:G,MATCH(Master_Data!A34,Students!A:A,0))</f>
        <v>No</v>
      </c>
      <c r="H34">
        <f>INDEX(Engagement!B:B,MATCH(Master_Data!A34,Engagement!A:A,0))</f>
        <v>4</v>
      </c>
      <c r="I34">
        <f>INDEX(Engagement!C:C,MATCH(Master_Data!A34,Engagement!A:A,0))</f>
        <v>1</v>
      </c>
      <c r="J34">
        <f>INDEX(Engagement!D:D,MATCH(Master_Data!A34,Engagement!A:A,0))</f>
        <v>2</v>
      </c>
      <c r="K34">
        <f>INDEX(Engagement!E:E,MATCH(Master_Data!A34,Engagement!A:A,0))</f>
        <v>1</v>
      </c>
      <c r="L34" t="str">
        <f>INDEX(Outcomes!B:B,MATCH(Master_Data!A34,Engagement!A:A,0))</f>
        <v>No</v>
      </c>
      <c r="M34" t="str">
        <f>INDEX(Outcomes!C:C,MATCH(Master_Data!A34,Engagement!A:A,0))</f>
        <v>Employed</v>
      </c>
      <c r="N34" t="str">
        <f>INDEX(Outcomes!D:D,MATCH(Master_Data!A34,Engagement!A:A,0))</f>
        <v>Full-Time</v>
      </c>
      <c r="O34" t="str">
        <f>INDEX(Outcomes!E:E,MATCH(Master_Data!A34,Engagement!A:A,0))</f>
        <v>Technology</v>
      </c>
      <c r="P34">
        <f>INDEX(Outcomes!F:F,MATCH(Master_Data!A34,Engagement!A:A,0))</f>
        <v>75889</v>
      </c>
      <c r="Q34">
        <f>INDEX(Outcomes!G:G,MATCH(Master_Data!A34,Engagement!A:A,0))</f>
        <v>3</v>
      </c>
      <c r="R34">
        <f t="shared" si="0"/>
        <v>8</v>
      </c>
      <c r="S34" t="str">
        <f t="shared" si="1"/>
        <v>Positive Outcome</v>
      </c>
      <c r="T34" t="str">
        <f t="shared" si="2"/>
        <v>Above 75K</v>
      </c>
    </row>
    <row r="35" spans="1:20" x14ac:dyDescent="0.35">
      <c r="A35" t="s">
        <v>92</v>
      </c>
      <c r="B35" t="str">
        <f>INDEX(Students!B:B,MATCH(Master_Data!A35,Students!A:A,0))</f>
        <v>Rowan Harris</v>
      </c>
      <c r="C35" t="str">
        <f>INDEX(Students!C:C,MATCH(Master_Data!A35,Students!A:A,0))</f>
        <v>Business Analytics</v>
      </c>
      <c r="D35" t="str">
        <f>INDEX(Students!D:D,MATCH(Master_Data!A35,Students!A:A,0))</f>
        <v>Undergraduate</v>
      </c>
      <c r="E35">
        <f>INDEX(Students!E:E,MATCH(Master_Data!A35,Students!A:A,0))</f>
        <v>2027</v>
      </c>
      <c r="F35">
        <f>INDEX(Students!F:F,MATCH(Master_Data!A35,Students!A:A,0))</f>
        <v>3.5</v>
      </c>
      <c r="G35" t="str">
        <f>INDEX(Students!G:G,MATCH(Master_Data!A35,Students!A:A,0))</f>
        <v>No</v>
      </c>
      <c r="H35">
        <f>INDEX(Engagement!B:B,MATCH(Master_Data!A35,Engagement!A:A,0))</f>
        <v>3</v>
      </c>
      <c r="I35">
        <f>INDEX(Engagement!C:C,MATCH(Master_Data!A35,Engagement!A:A,0))</f>
        <v>2</v>
      </c>
      <c r="J35">
        <f>INDEX(Engagement!D:D,MATCH(Master_Data!A35,Engagement!A:A,0))</f>
        <v>2</v>
      </c>
      <c r="K35">
        <f>INDEX(Engagement!E:E,MATCH(Master_Data!A35,Engagement!A:A,0))</f>
        <v>1</v>
      </c>
      <c r="L35" t="str">
        <f>INDEX(Outcomes!B:B,MATCH(Master_Data!A35,Engagement!A:A,0))</f>
        <v>No</v>
      </c>
      <c r="M35" t="str">
        <f>INDEX(Outcomes!C:C,MATCH(Master_Data!A35,Engagement!A:A,0))</f>
        <v>Employed</v>
      </c>
      <c r="N35" t="str">
        <f>INDEX(Outcomes!D:D,MATCH(Master_Data!A35,Engagement!A:A,0))</f>
        <v>Full-Time</v>
      </c>
      <c r="O35" t="str">
        <f>INDEX(Outcomes!E:E,MATCH(Master_Data!A35,Engagement!A:A,0))</f>
        <v>Healthcare</v>
      </c>
      <c r="P35">
        <f>INDEX(Outcomes!F:F,MATCH(Master_Data!A35,Engagement!A:A,0))</f>
        <v>60230</v>
      </c>
      <c r="Q35">
        <f>INDEX(Outcomes!G:G,MATCH(Master_Data!A35,Engagement!A:A,0))</f>
        <v>3</v>
      </c>
      <c r="R35">
        <f t="shared" si="0"/>
        <v>8</v>
      </c>
      <c r="S35" t="str">
        <f t="shared" si="1"/>
        <v>Positive Outcome</v>
      </c>
      <c r="T35" t="str">
        <f t="shared" si="2"/>
        <v>Between 50K and 75K</v>
      </c>
    </row>
    <row r="36" spans="1:20" x14ac:dyDescent="0.35">
      <c r="A36" t="s">
        <v>94</v>
      </c>
      <c r="B36" t="str">
        <f>INDEX(Students!B:B,MATCH(Master_Data!A36,Students!A:A,0))</f>
        <v>Skyler Johnson</v>
      </c>
      <c r="C36" t="str">
        <f>INDEX(Students!C:C,MATCH(Master_Data!A36,Students!A:A,0))</f>
        <v>Business Analytics</v>
      </c>
      <c r="D36" t="str">
        <f>INDEX(Students!D:D,MATCH(Master_Data!A36,Students!A:A,0))</f>
        <v>Graduate</v>
      </c>
      <c r="E36">
        <f>INDEX(Students!E:E,MATCH(Master_Data!A36,Students!A:A,0))</f>
        <v>2027</v>
      </c>
      <c r="F36">
        <f>INDEX(Students!F:F,MATCH(Master_Data!A36,Students!A:A,0))</f>
        <v>3.44</v>
      </c>
      <c r="G36" t="str">
        <f>INDEX(Students!G:G,MATCH(Master_Data!A36,Students!A:A,0))</f>
        <v>Yes</v>
      </c>
      <c r="H36">
        <f>INDEX(Engagement!B:B,MATCH(Master_Data!A36,Engagement!A:A,0))</f>
        <v>2</v>
      </c>
      <c r="I36">
        <f>INDEX(Engagement!C:C,MATCH(Master_Data!A36,Engagement!A:A,0))</f>
        <v>1</v>
      </c>
      <c r="J36">
        <f>INDEX(Engagement!D:D,MATCH(Master_Data!A36,Engagement!A:A,0))</f>
        <v>2</v>
      </c>
      <c r="K36">
        <f>INDEX(Engagement!E:E,MATCH(Master_Data!A36,Engagement!A:A,0))</f>
        <v>2</v>
      </c>
      <c r="L36" t="str">
        <f>INDEX(Outcomes!B:B,MATCH(Master_Data!A36,Engagement!A:A,0))</f>
        <v>Yes</v>
      </c>
      <c r="M36" t="str">
        <f>INDEX(Outcomes!C:C,MATCH(Master_Data!A36,Engagement!A:A,0))</f>
        <v>Employed</v>
      </c>
      <c r="N36" t="str">
        <f>INDEX(Outcomes!D:D,MATCH(Master_Data!A36,Engagement!A:A,0))</f>
        <v>Part-Time</v>
      </c>
      <c r="O36" t="str">
        <f>INDEX(Outcomes!E:E,MATCH(Master_Data!A36,Engagement!A:A,0))</f>
        <v>Healthcare</v>
      </c>
      <c r="P36">
        <f>INDEX(Outcomes!F:F,MATCH(Master_Data!A36,Engagement!A:A,0))</f>
        <v>47866</v>
      </c>
      <c r="Q36">
        <f>INDEX(Outcomes!G:G,MATCH(Master_Data!A36,Engagement!A:A,0))</f>
        <v>2</v>
      </c>
      <c r="R36">
        <f t="shared" si="0"/>
        <v>7</v>
      </c>
      <c r="S36" t="str">
        <f t="shared" si="1"/>
        <v>Positive Outcome</v>
      </c>
      <c r="T36" t="str">
        <f t="shared" si="2"/>
        <v>Below 50K</v>
      </c>
    </row>
    <row r="37" spans="1:20" x14ac:dyDescent="0.35">
      <c r="A37" t="s">
        <v>96</v>
      </c>
      <c r="B37" t="str">
        <f>INDEX(Students!B:B,MATCH(Master_Data!A37,Students!A:A,0))</f>
        <v>Blake Brown</v>
      </c>
      <c r="C37" t="str">
        <f>INDEX(Students!C:C,MATCH(Master_Data!A37,Students!A:A,0))</f>
        <v>Finance</v>
      </c>
      <c r="D37" t="str">
        <f>INDEX(Students!D:D,MATCH(Master_Data!A37,Students!A:A,0))</f>
        <v>Undergraduate</v>
      </c>
      <c r="E37">
        <f>INDEX(Students!E:E,MATCH(Master_Data!A37,Students!A:A,0))</f>
        <v>2026</v>
      </c>
      <c r="F37">
        <f>INDEX(Students!F:F,MATCH(Master_Data!A37,Students!A:A,0))</f>
        <v>3.83</v>
      </c>
      <c r="G37" t="str">
        <f>INDEX(Students!G:G,MATCH(Master_Data!A37,Students!A:A,0))</f>
        <v>No</v>
      </c>
      <c r="H37">
        <f>INDEX(Engagement!B:B,MATCH(Master_Data!A37,Engagement!A:A,0))</f>
        <v>3</v>
      </c>
      <c r="I37">
        <f>INDEX(Engagement!C:C,MATCH(Master_Data!A37,Engagement!A:A,0))</f>
        <v>2</v>
      </c>
      <c r="J37">
        <f>INDEX(Engagement!D:D,MATCH(Master_Data!A37,Engagement!A:A,0))</f>
        <v>1</v>
      </c>
      <c r="K37">
        <f>INDEX(Engagement!E:E,MATCH(Master_Data!A37,Engagement!A:A,0))</f>
        <v>1</v>
      </c>
      <c r="L37" t="str">
        <f>INDEX(Outcomes!B:B,MATCH(Master_Data!A37,Engagement!A:A,0))</f>
        <v>Yes</v>
      </c>
      <c r="M37" t="str">
        <f>INDEX(Outcomes!C:C,MATCH(Master_Data!A37,Engagement!A:A,0))</f>
        <v>Seeking</v>
      </c>
      <c r="N37" t="str">
        <f>INDEX(Outcomes!D:D,MATCH(Master_Data!A37,Engagement!A:A,0))</f>
        <v>NA</v>
      </c>
      <c r="O37" t="str">
        <f>INDEX(Outcomes!E:E,MATCH(Master_Data!A37,Engagement!A:A,0))</f>
        <v>NA</v>
      </c>
      <c r="P37">
        <f>INDEX(Outcomes!F:F,MATCH(Master_Data!A37,Engagement!A:A,0))</f>
        <v>0</v>
      </c>
      <c r="Q37">
        <f>INDEX(Outcomes!G:G,MATCH(Master_Data!A37,Engagement!A:A,0))</f>
        <v>0</v>
      </c>
      <c r="R37">
        <f t="shared" si="0"/>
        <v>7</v>
      </c>
      <c r="S37" t="str">
        <f t="shared" si="1"/>
        <v>Seeking</v>
      </c>
      <c r="T37" t="str">
        <f t="shared" si="2"/>
        <v>No Salary</v>
      </c>
    </row>
    <row r="38" spans="1:20" x14ac:dyDescent="0.35">
      <c r="A38" t="s">
        <v>98</v>
      </c>
      <c r="B38" t="str">
        <f>INDEX(Students!B:B,MATCH(Master_Data!A38,Students!A:A,0))</f>
        <v>Elliot Davis</v>
      </c>
      <c r="C38" t="str">
        <f>INDEX(Students!C:C,MATCH(Master_Data!A38,Students!A:A,0))</f>
        <v>Data Science</v>
      </c>
      <c r="D38" t="str">
        <f>INDEX(Students!D:D,MATCH(Master_Data!A38,Students!A:A,0))</f>
        <v>Undergraduate</v>
      </c>
      <c r="E38">
        <f>INDEX(Students!E:E,MATCH(Master_Data!A38,Students!A:A,0))</f>
        <v>2026</v>
      </c>
      <c r="F38">
        <f>INDEX(Students!F:F,MATCH(Master_Data!A38,Students!A:A,0))</f>
        <v>3.59</v>
      </c>
      <c r="G38" t="str">
        <f>INDEX(Students!G:G,MATCH(Master_Data!A38,Students!A:A,0))</f>
        <v>No</v>
      </c>
      <c r="H38">
        <f>INDEX(Engagement!B:B,MATCH(Master_Data!A38,Engagement!A:A,0))</f>
        <v>3</v>
      </c>
      <c r="I38">
        <f>INDEX(Engagement!C:C,MATCH(Master_Data!A38,Engagement!A:A,0))</f>
        <v>3</v>
      </c>
      <c r="J38">
        <f>INDEX(Engagement!D:D,MATCH(Master_Data!A38,Engagement!A:A,0))</f>
        <v>2</v>
      </c>
      <c r="K38">
        <f>INDEX(Engagement!E:E,MATCH(Master_Data!A38,Engagement!A:A,0))</f>
        <v>1</v>
      </c>
      <c r="L38" t="str">
        <f>INDEX(Outcomes!B:B,MATCH(Master_Data!A38,Engagement!A:A,0))</f>
        <v>Yes</v>
      </c>
      <c r="M38" t="str">
        <f>INDEX(Outcomes!C:C,MATCH(Master_Data!A38,Engagement!A:A,0))</f>
        <v>Employed</v>
      </c>
      <c r="N38" t="str">
        <f>INDEX(Outcomes!D:D,MATCH(Master_Data!A38,Engagement!A:A,0))</f>
        <v>Full-Time</v>
      </c>
      <c r="O38" t="str">
        <f>INDEX(Outcomes!E:E,MATCH(Master_Data!A38,Engagement!A:A,0))</f>
        <v>Consulting</v>
      </c>
      <c r="P38">
        <f>INDEX(Outcomes!F:F,MATCH(Master_Data!A38,Engagement!A:A,0))</f>
        <v>74850</v>
      </c>
      <c r="Q38">
        <f>INDEX(Outcomes!G:G,MATCH(Master_Data!A38,Engagement!A:A,0))</f>
        <v>1</v>
      </c>
      <c r="R38">
        <f t="shared" si="0"/>
        <v>9</v>
      </c>
      <c r="S38" t="str">
        <f t="shared" si="1"/>
        <v>Positive Outcome</v>
      </c>
      <c r="T38" t="str">
        <f t="shared" si="2"/>
        <v>Between 50K and 75K</v>
      </c>
    </row>
    <row r="39" spans="1:20" x14ac:dyDescent="0.35">
      <c r="A39" t="s">
        <v>100</v>
      </c>
      <c r="B39" t="str">
        <f>INDEX(Students!B:B,MATCH(Master_Data!A39,Students!A:A,0))</f>
        <v>Skyler Wilson</v>
      </c>
      <c r="C39" t="str">
        <f>INDEX(Students!C:C,MATCH(Master_Data!A39,Students!A:A,0))</f>
        <v>Business Analytics</v>
      </c>
      <c r="D39" t="str">
        <f>INDEX(Students!D:D,MATCH(Master_Data!A39,Students!A:A,0))</f>
        <v>Graduate</v>
      </c>
      <c r="E39">
        <f>INDEX(Students!E:E,MATCH(Master_Data!A39,Students!A:A,0))</f>
        <v>2026</v>
      </c>
      <c r="F39">
        <f>INDEX(Students!F:F,MATCH(Master_Data!A39,Students!A:A,0))</f>
        <v>3.27</v>
      </c>
      <c r="G39" t="str">
        <f>INDEX(Students!G:G,MATCH(Master_Data!A39,Students!A:A,0))</f>
        <v>No</v>
      </c>
      <c r="H39">
        <f>INDEX(Engagement!B:B,MATCH(Master_Data!A39,Engagement!A:A,0))</f>
        <v>6</v>
      </c>
      <c r="I39">
        <f>INDEX(Engagement!C:C,MATCH(Master_Data!A39,Engagement!A:A,0))</f>
        <v>1</v>
      </c>
      <c r="J39">
        <f>INDEX(Engagement!D:D,MATCH(Master_Data!A39,Engagement!A:A,0))</f>
        <v>2</v>
      </c>
      <c r="K39">
        <f>INDEX(Engagement!E:E,MATCH(Master_Data!A39,Engagement!A:A,0))</f>
        <v>2</v>
      </c>
      <c r="L39" t="str">
        <f>INDEX(Outcomes!B:B,MATCH(Master_Data!A39,Engagement!A:A,0))</f>
        <v>Yes</v>
      </c>
      <c r="M39" t="str">
        <f>INDEX(Outcomes!C:C,MATCH(Master_Data!A39,Engagement!A:A,0))</f>
        <v>Employed</v>
      </c>
      <c r="N39" t="str">
        <f>INDEX(Outcomes!D:D,MATCH(Master_Data!A39,Engagement!A:A,0))</f>
        <v>Full-Time</v>
      </c>
      <c r="O39" t="str">
        <f>INDEX(Outcomes!E:E,MATCH(Master_Data!A39,Engagement!A:A,0))</f>
        <v>Retail</v>
      </c>
      <c r="P39">
        <f>INDEX(Outcomes!F:F,MATCH(Master_Data!A39,Engagement!A:A,0))</f>
        <v>61767</v>
      </c>
      <c r="Q39">
        <f>INDEX(Outcomes!G:G,MATCH(Master_Data!A39,Engagement!A:A,0))</f>
        <v>3</v>
      </c>
      <c r="R39">
        <f t="shared" si="0"/>
        <v>11</v>
      </c>
      <c r="S39" t="str">
        <f t="shared" si="1"/>
        <v>Positive Outcome</v>
      </c>
      <c r="T39" t="str">
        <f t="shared" si="2"/>
        <v>Between 50K and 75K</v>
      </c>
    </row>
    <row r="40" spans="1:20" x14ac:dyDescent="0.35">
      <c r="A40" t="s">
        <v>102</v>
      </c>
      <c r="B40" t="str">
        <f>INDEX(Students!B:B,MATCH(Master_Data!A40,Students!A:A,0))</f>
        <v>Logan White</v>
      </c>
      <c r="C40" t="str">
        <f>INDEX(Students!C:C,MATCH(Master_Data!A40,Students!A:A,0))</f>
        <v>Computer Science</v>
      </c>
      <c r="D40" t="str">
        <f>INDEX(Students!D:D,MATCH(Master_Data!A40,Students!A:A,0))</f>
        <v>Graduate</v>
      </c>
      <c r="E40">
        <f>INDEX(Students!E:E,MATCH(Master_Data!A40,Students!A:A,0))</f>
        <v>2026</v>
      </c>
      <c r="F40">
        <f>INDEX(Students!F:F,MATCH(Master_Data!A40,Students!A:A,0))</f>
        <v>3.35</v>
      </c>
      <c r="G40" t="str">
        <f>INDEX(Students!G:G,MATCH(Master_Data!A40,Students!A:A,0))</f>
        <v>No</v>
      </c>
      <c r="H40">
        <f>INDEX(Engagement!B:B,MATCH(Master_Data!A40,Engagement!A:A,0))</f>
        <v>5</v>
      </c>
      <c r="I40">
        <f>INDEX(Engagement!C:C,MATCH(Master_Data!A40,Engagement!A:A,0))</f>
        <v>2</v>
      </c>
      <c r="J40">
        <f>INDEX(Engagement!D:D,MATCH(Master_Data!A40,Engagement!A:A,0))</f>
        <v>2</v>
      </c>
      <c r="K40">
        <f>INDEX(Engagement!E:E,MATCH(Master_Data!A40,Engagement!A:A,0))</f>
        <v>2</v>
      </c>
      <c r="L40" t="str">
        <f>INDEX(Outcomes!B:B,MATCH(Master_Data!A40,Engagement!A:A,0))</f>
        <v>Yes</v>
      </c>
      <c r="M40" t="str">
        <f>INDEX(Outcomes!C:C,MATCH(Master_Data!A40,Engagement!A:A,0))</f>
        <v>Employed</v>
      </c>
      <c r="N40" t="str">
        <f>INDEX(Outcomes!D:D,MATCH(Master_Data!A40,Engagement!A:A,0))</f>
        <v>Full-Time</v>
      </c>
      <c r="O40" t="str">
        <f>INDEX(Outcomes!E:E,MATCH(Master_Data!A40,Engagement!A:A,0))</f>
        <v>Technology</v>
      </c>
      <c r="P40">
        <f>INDEX(Outcomes!F:F,MATCH(Master_Data!A40,Engagement!A:A,0))</f>
        <v>76363</v>
      </c>
      <c r="Q40">
        <f>INDEX(Outcomes!G:G,MATCH(Master_Data!A40,Engagement!A:A,0))</f>
        <v>4</v>
      </c>
      <c r="R40">
        <f t="shared" si="0"/>
        <v>11</v>
      </c>
      <c r="S40" t="str">
        <f t="shared" si="1"/>
        <v>Positive Outcome</v>
      </c>
      <c r="T40" t="str">
        <f t="shared" si="2"/>
        <v>Above 75K</v>
      </c>
    </row>
    <row r="41" spans="1:20" x14ac:dyDescent="0.35">
      <c r="A41" t="s">
        <v>104</v>
      </c>
      <c r="B41" t="str">
        <f>INDEX(Students!B:B,MATCH(Master_Data!A41,Students!A:A,0))</f>
        <v>Morgan Brown</v>
      </c>
      <c r="C41" t="str">
        <f>INDEX(Students!C:C,MATCH(Master_Data!A41,Students!A:A,0))</f>
        <v>Economics</v>
      </c>
      <c r="D41" t="str">
        <f>INDEX(Students!D:D,MATCH(Master_Data!A41,Students!A:A,0))</f>
        <v>Graduate</v>
      </c>
      <c r="E41">
        <f>INDEX(Students!E:E,MATCH(Master_Data!A41,Students!A:A,0))</f>
        <v>2026</v>
      </c>
      <c r="F41">
        <f>INDEX(Students!F:F,MATCH(Master_Data!A41,Students!A:A,0))</f>
        <v>3.22</v>
      </c>
      <c r="G41" t="str">
        <f>INDEX(Students!G:G,MATCH(Master_Data!A41,Students!A:A,0))</f>
        <v>Yes</v>
      </c>
      <c r="H41">
        <f>INDEX(Engagement!B:B,MATCH(Master_Data!A41,Engagement!A:A,0))</f>
        <v>3</v>
      </c>
      <c r="I41">
        <f>INDEX(Engagement!C:C,MATCH(Master_Data!A41,Engagement!A:A,0))</f>
        <v>1</v>
      </c>
      <c r="J41">
        <f>INDEX(Engagement!D:D,MATCH(Master_Data!A41,Engagement!A:A,0))</f>
        <v>1</v>
      </c>
      <c r="K41">
        <f>INDEX(Engagement!E:E,MATCH(Master_Data!A41,Engagement!A:A,0))</f>
        <v>2</v>
      </c>
      <c r="L41" t="str">
        <f>INDEX(Outcomes!B:B,MATCH(Master_Data!A41,Engagement!A:A,0))</f>
        <v>Yes</v>
      </c>
      <c r="M41" t="str">
        <f>INDEX(Outcomes!C:C,MATCH(Master_Data!A41,Engagement!A:A,0))</f>
        <v>Continuing Education</v>
      </c>
      <c r="N41" t="str">
        <f>INDEX(Outcomes!D:D,MATCH(Master_Data!A41,Engagement!A:A,0))</f>
        <v>NA</v>
      </c>
      <c r="O41" t="str">
        <f>INDEX(Outcomes!E:E,MATCH(Master_Data!A41,Engagement!A:A,0))</f>
        <v>NA</v>
      </c>
      <c r="P41">
        <f>INDEX(Outcomes!F:F,MATCH(Master_Data!A41,Engagement!A:A,0))</f>
        <v>0</v>
      </c>
      <c r="Q41">
        <f>INDEX(Outcomes!G:G,MATCH(Master_Data!A41,Engagement!A:A,0))</f>
        <v>0</v>
      </c>
      <c r="R41">
        <f t="shared" si="0"/>
        <v>7</v>
      </c>
      <c r="S41" t="str">
        <f t="shared" si="1"/>
        <v>Further Study</v>
      </c>
      <c r="T41" t="str">
        <f t="shared" si="2"/>
        <v>No Salary</v>
      </c>
    </row>
    <row r="42" spans="1:20" x14ac:dyDescent="0.35">
      <c r="A42" t="s">
        <v>106</v>
      </c>
      <c r="B42" t="str">
        <f>INDEX(Students!B:B,MATCH(Master_Data!A42,Students!A:A,0))</f>
        <v>Cameron Moore</v>
      </c>
      <c r="C42" t="str">
        <f>INDEX(Students!C:C,MATCH(Master_Data!A42,Students!A:A,0))</f>
        <v>Computer Science</v>
      </c>
      <c r="D42" t="str">
        <f>INDEX(Students!D:D,MATCH(Master_Data!A42,Students!A:A,0))</f>
        <v>Undergraduate</v>
      </c>
      <c r="E42">
        <f>INDEX(Students!E:E,MATCH(Master_Data!A42,Students!A:A,0))</f>
        <v>2026</v>
      </c>
      <c r="F42">
        <f>INDEX(Students!F:F,MATCH(Master_Data!A42,Students!A:A,0))</f>
        <v>3.16</v>
      </c>
      <c r="G42" t="str">
        <f>INDEX(Students!G:G,MATCH(Master_Data!A42,Students!A:A,0))</f>
        <v>No</v>
      </c>
      <c r="H42">
        <f>INDEX(Engagement!B:B,MATCH(Master_Data!A42,Engagement!A:A,0))</f>
        <v>2</v>
      </c>
      <c r="I42">
        <f>INDEX(Engagement!C:C,MATCH(Master_Data!A42,Engagement!A:A,0))</f>
        <v>2</v>
      </c>
      <c r="J42">
        <f>INDEX(Engagement!D:D,MATCH(Master_Data!A42,Engagement!A:A,0))</f>
        <v>1</v>
      </c>
      <c r="K42">
        <f>INDEX(Engagement!E:E,MATCH(Master_Data!A42,Engagement!A:A,0))</f>
        <v>1</v>
      </c>
      <c r="L42" t="str">
        <f>INDEX(Outcomes!B:B,MATCH(Master_Data!A42,Engagement!A:A,0))</f>
        <v>Yes</v>
      </c>
      <c r="M42" t="str">
        <f>INDEX(Outcomes!C:C,MATCH(Master_Data!A42,Engagement!A:A,0))</f>
        <v>Seeking</v>
      </c>
      <c r="N42" t="str">
        <f>INDEX(Outcomes!D:D,MATCH(Master_Data!A42,Engagement!A:A,0))</f>
        <v>NA</v>
      </c>
      <c r="O42" t="str">
        <f>INDEX(Outcomes!E:E,MATCH(Master_Data!A42,Engagement!A:A,0))</f>
        <v>NA</v>
      </c>
      <c r="P42">
        <f>INDEX(Outcomes!F:F,MATCH(Master_Data!A42,Engagement!A:A,0))</f>
        <v>0</v>
      </c>
      <c r="Q42">
        <f>INDEX(Outcomes!G:G,MATCH(Master_Data!A42,Engagement!A:A,0))</f>
        <v>0</v>
      </c>
      <c r="R42">
        <f t="shared" si="0"/>
        <v>6</v>
      </c>
      <c r="S42" t="str">
        <f t="shared" si="1"/>
        <v>Seeking</v>
      </c>
      <c r="T42" t="str">
        <f t="shared" si="2"/>
        <v>No Salary</v>
      </c>
    </row>
    <row r="43" spans="1:20" x14ac:dyDescent="0.35">
      <c r="A43" t="s">
        <v>108</v>
      </c>
      <c r="B43" t="str">
        <f>INDEX(Students!B:B,MATCH(Master_Data!A43,Students!A:A,0))</f>
        <v>Blake Smith</v>
      </c>
      <c r="C43" t="str">
        <f>INDEX(Students!C:C,MATCH(Master_Data!A43,Students!A:A,0))</f>
        <v>Data Science</v>
      </c>
      <c r="D43" t="str">
        <f>INDEX(Students!D:D,MATCH(Master_Data!A43,Students!A:A,0))</f>
        <v>Graduate</v>
      </c>
      <c r="E43">
        <f>INDEX(Students!E:E,MATCH(Master_Data!A43,Students!A:A,0))</f>
        <v>2027</v>
      </c>
      <c r="F43">
        <f>INDEX(Students!F:F,MATCH(Master_Data!A43,Students!A:A,0))</f>
        <v>2.92</v>
      </c>
      <c r="G43" t="str">
        <f>INDEX(Students!G:G,MATCH(Master_Data!A43,Students!A:A,0))</f>
        <v>No</v>
      </c>
      <c r="H43">
        <f>INDEX(Engagement!B:B,MATCH(Master_Data!A43,Engagement!A:A,0))</f>
        <v>5</v>
      </c>
      <c r="I43">
        <f>INDEX(Engagement!C:C,MATCH(Master_Data!A43,Engagement!A:A,0))</f>
        <v>2</v>
      </c>
      <c r="J43">
        <f>INDEX(Engagement!D:D,MATCH(Master_Data!A43,Engagement!A:A,0))</f>
        <v>1</v>
      </c>
      <c r="K43">
        <f>INDEX(Engagement!E:E,MATCH(Master_Data!A43,Engagement!A:A,0))</f>
        <v>3</v>
      </c>
      <c r="L43" t="str">
        <f>INDEX(Outcomes!B:B,MATCH(Master_Data!A43,Engagement!A:A,0))</f>
        <v>Yes</v>
      </c>
      <c r="M43" t="str">
        <f>INDEX(Outcomes!C:C,MATCH(Master_Data!A43,Engagement!A:A,0))</f>
        <v>Employed</v>
      </c>
      <c r="N43" t="str">
        <f>INDEX(Outcomes!D:D,MATCH(Master_Data!A43,Engagement!A:A,0))</f>
        <v>Internship</v>
      </c>
      <c r="O43" t="str">
        <f>INDEX(Outcomes!E:E,MATCH(Master_Data!A43,Engagement!A:A,0))</f>
        <v>Technology</v>
      </c>
      <c r="P43">
        <f>INDEX(Outcomes!F:F,MATCH(Master_Data!A43,Engagement!A:A,0))</f>
        <v>37819</v>
      </c>
      <c r="Q43">
        <f>INDEX(Outcomes!G:G,MATCH(Master_Data!A43,Engagement!A:A,0))</f>
        <v>1</v>
      </c>
      <c r="R43">
        <f t="shared" si="0"/>
        <v>11</v>
      </c>
      <c r="S43" t="str">
        <f t="shared" si="1"/>
        <v>Positive Outcome</v>
      </c>
      <c r="T43" t="str">
        <f t="shared" si="2"/>
        <v>Below 50K</v>
      </c>
    </row>
    <row r="44" spans="1:20" x14ac:dyDescent="0.35">
      <c r="A44" t="s">
        <v>110</v>
      </c>
      <c r="B44" t="str">
        <f>INDEX(Students!B:B,MATCH(Master_Data!A44,Students!A:A,0))</f>
        <v>Drew Lee</v>
      </c>
      <c r="C44" t="str">
        <f>INDEX(Students!C:C,MATCH(Master_Data!A44,Students!A:A,0))</f>
        <v>Marketing</v>
      </c>
      <c r="D44" t="str">
        <f>INDEX(Students!D:D,MATCH(Master_Data!A44,Students!A:A,0))</f>
        <v>Graduate</v>
      </c>
      <c r="E44">
        <f>INDEX(Students!E:E,MATCH(Master_Data!A44,Students!A:A,0))</f>
        <v>2026</v>
      </c>
      <c r="F44">
        <f>INDEX(Students!F:F,MATCH(Master_Data!A44,Students!A:A,0))</f>
        <v>3.14</v>
      </c>
      <c r="G44" t="str">
        <f>INDEX(Students!G:G,MATCH(Master_Data!A44,Students!A:A,0))</f>
        <v>Yes</v>
      </c>
      <c r="H44">
        <f>INDEX(Engagement!B:B,MATCH(Master_Data!A44,Engagement!A:A,0))</f>
        <v>4</v>
      </c>
      <c r="I44">
        <f>INDEX(Engagement!C:C,MATCH(Master_Data!A44,Engagement!A:A,0))</f>
        <v>4</v>
      </c>
      <c r="J44">
        <f>INDEX(Engagement!D:D,MATCH(Master_Data!A44,Engagement!A:A,0))</f>
        <v>1</v>
      </c>
      <c r="K44">
        <f>INDEX(Engagement!E:E,MATCH(Master_Data!A44,Engagement!A:A,0))</f>
        <v>1</v>
      </c>
      <c r="L44" t="str">
        <f>INDEX(Outcomes!B:B,MATCH(Master_Data!A44,Engagement!A:A,0))</f>
        <v>Yes</v>
      </c>
      <c r="M44" t="str">
        <f>INDEX(Outcomes!C:C,MATCH(Master_Data!A44,Engagement!A:A,0))</f>
        <v>Employed</v>
      </c>
      <c r="N44" t="str">
        <f>INDEX(Outcomes!D:D,MATCH(Master_Data!A44,Engagement!A:A,0))</f>
        <v>Full-Time</v>
      </c>
      <c r="O44" t="str">
        <f>INDEX(Outcomes!E:E,MATCH(Master_Data!A44,Engagement!A:A,0))</f>
        <v>Finance</v>
      </c>
      <c r="P44">
        <f>INDEX(Outcomes!F:F,MATCH(Master_Data!A44,Engagement!A:A,0))</f>
        <v>75305</v>
      </c>
      <c r="Q44">
        <f>INDEX(Outcomes!G:G,MATCH(Master_Data!A44,Engagement!A:A,0))</f>
        <v>3</v>
      </c>
      <c r="R44">
        <f t="shared" si="0"/>
        <v>10</v>
      </c>
      <c r="S44" t="str">
        <f t="shared" si="1"/>
        <v>Positive Outcome</v>
      </c>
      <c r="T44" t="str">
        <f t="shared" si="2"/>
        <v>Above 75K</v>
      </c>
    </row>
    <row r="45" spans="1:20" x14ac:dyDescent="0.35">
      <c r="A45" t="s">
        <v>112</v>
      </c>
      <c r="B45" t="str">
        <f>INDEX(Students!B:B,MATCH(Master_Data!A45,Students!A:A,0))</f>
        <v>Skyler Miller</v>
      </c>
      <c r="C45" t="str">
        <f>INDEX(Students!C:C,MATCH(Master_Data!A45,Students!A:A,0))</f>
        <v>Data Science</v>
      </c>
      <c r="D45" t="str">
        <f>INDEX(Students!D:D,MATCH(Master_Data!A45,Students!A:A,0))</f>
        <v>Graduate</v>
      </c>
      <c r="E45">
        <f>INDEX(Students!E:E,MATCH(Master_Data!A45,Students!A:A,0))</f>
        <v>2026</v>
      </c>
      <c r="F45">
        <f>INDEX(Students!F:F,MATCH(Master_Data!A45,Students!A:A,0))</f>
        <v>3.1</v>
      </c>
      <c r="G45" t="str">
        <f>INDEX(Students!G:G,MATCH(Master_Data!A45,Students!A:A,0))</f>
        <v>No</v>
      </c>
      <c r="H45">
        <f>INDEX(Engagement!B:B,MATCH(Master_Data!A45,Engagement!A:A,0))</f>
        <v>1</v>
      </c>
      <c r="I45">
        <f>INDEX(Engagement!C:C,MATCH(Master_Data!A45,Engagement!A:A,0))</f>
        <v>2</v>
      </c>
      <c r="J45">
        <f>INDEX(Engagement!D:D,MATCH(Master_Data!A45,Engagement!A:A,0))</f>
        <v>2</v>
      </c>
      <c r="K45">
        <f>INDEX(Engagement!E:E,MATCH(Master_Data!A45,Engagement!A:A,0))</f>
        <v>2</v>
      </c>
      <c r="L45" t="str">
        <f>INDEX(Outcomes!B:B,MATCH(Master_Data!A45,Engagement!A:A,0))</f>
        <v>No</v>
      </c>
      <c r="M45" t="str">
        <f>INDEX(Outcomes!C:C,MATCH(Master_Data!A45,Engagement!A:A,0))</f>
        <v>Employed</v>
      </c>
      <c r="N45" t="str">
        <f>INDEX(Outcomes!D:D,MATCH(Master_Data!A45,Engagement!A:A,0))</f>
        <v>Full-Time</v>
      </c>
      <c r="O45" t="str">
        <f>INDEX(Outcomes!E:E,MATCH(Master_Data!A45,Engagement!A:A,0))</f>
        <v>Marketing</v>
      </c>
      <c r="P45">
        <f>INDEX(Outcomes!F:F,MATCH(Master_Data!A45,Engagement!A:A,0))</f>
        <v>58429</v>
      </c>
      <c r="Q45">
        <f>INDEX(Outcomes!G:G,MATCH(Master_Data!A45,Engagement!A:A,0))</f>
        <v>3</v>
      </c>
      <c r="R45">
        <f t="shared" si="0"/>
        <v>7</v>
      </c>
      <c r="S45" t="str">
        <f t="shared" si="1"/>
        <v>Positive Outcome</v>
      </c>
      <c r="T45" t="str">
        <f t="shared" si="2"/>
        <v>Between 50K and 75K</v>
      </c>
    </row>
    <row r="46" spans="1:20" x14ac:dyDescent="0.35">
      <c r="A46" t="s">
        <v>114</v>
      </c>
      <c r="B46" t="str">
        <f>INDEX(Students!B:B,MATCH(Master_Data!A46,Students!A:A,0))</f>
        <v>Jordan Brown</v>
      </c>
      <c r="C46" t="str">
        <f>INDEX(Students!C:C,MATCH(Master_Data!A46,Students!A:A,0))</f>
        <v>Data Science</v>
      </c>
      <c r="D46" t="str">
        <f>INDEX(Students!D:D,MATCH(Master_Data!A46,Students!A:A,0))</f>
        <v>Graduate</v>
      </c>
      <c r="E46">
        <f>INDEX(Students!E:E,MATCH(Master_Data!A46,Students!A:A,0))</f>
        <v>2026</v>
      </c>
      <c r="F46">
        <f>INDEX(Students!F:F,MATCH(Master_Data!A46,Students!A:A,0))</f>
        <v>3.2</v>
      </c>
      <c r="G46" t="str">
        <f>INDEX(Students!G:G,MATCH(Master_Data!A46,Students!A:A,0))</f>
        <v>Yes</v>
      </c>
      <c r="H46">
        <f>INDEX(Engagement!B:B,MATCH(Master_Data!A46,Engagement!A:A,0))</f>
        <v>2</v>
      </c>
      <c r="I46">
        <f>INDEX(Engagement!C:C,MATCH(Master_Data!A46,Engagement!A:A,0))</f>
        <v>1</v>
      </c>
      <c r="J46">
        <f>INDEX(Engagement!D:D,MATCH(Master_Data!A46,Engagement!A:A,0))</f>
        <v>1</v>
      </c>
      <c r="K46">
        <f>INDEX(Engagement!E:E,MATCH(Master_Data!A46,Engagement!A:A,0))</f>
        <v>2</v>
      </c>
      <c r="L46" t="str">
        <f>INDEX(Outcomes!B:B,MATCH(Master_Data!A46,Engagement!A:A,0))</f>
        <v>Yes</v>
      </c>
      <c r="M46" t="str">
        <f>INDEX(Outcomes!C:C,MATCH(Master_Data!A46,Engagement!A:A,0))</f>
        <v>Employed</v>
      </c>
      <c r="N46" t="str">
        <f>INDEX(Outcomes!D:D,MATCH(Master_Data!A46,Engagement!A:A,0))</f>
        <v>Full-Time</v>
      </c>
      <c r="O46" t="str">
        <f>INDEX(Outcomes!E:E,MATCH(Master_Data!A46,Engagement!A:A,0))</f>
        <v>Education</v>
      </c>
      <c r="P46">
        <f>INDEX(Outcomes!F:F,MATCH(Master_Data!A46,Engagement!A:A,0))</f>
        <v>55928</v>
      </c>
      <c r="Q46">
        <f>INDEX(Outcomes!G:G,MATCH(Master_Data!A46,Engagement!A:A,0))</f>
        <v>1</v>
      </c>
      <c r="R46">
        <f t="shared" si="0"/>
        <v>6</v>
      </c>
      <c r="S46" t="str">
        <f t="shared" si="1"/>
        <v>Positive Outcome</v>
      </c>
      <c r="T46" t="str">
        <f t="shared" si="2"/>
        <v>Between 50K and 75K</v>
      </c>
    </row>
    <row r="47" spans="1:20" x14ac:dyDescent="0.35">
      <c r="A47" t="s">
        <v>116</v>
      </c>
      <c r="B47" t="str">
        <f>INDEX(Students!B:B,MATCH(Master_Data!A47,Students!A:A,0))</f>
        <v>Drew Garcia</v>
      </c>
      <c r="C47" t="str">
        <f>INDEX(Students!C:C,MATCH(Master_Data!A47,Students!A:A,0))</f>
        <v>Finance</v>
      </c>
      <c r="D47" t="str">
        <f>INDEX(Students!D:D,MATCH(Master_Data!A47,Students!A:A,0))</f>
        <v>Graduate</v>
      </c>
      <c r="E47">
        <f>INDEX(Students!E:E,MATCH(Master_Data!A47,Students!A:A,0))</f>
        <v>2026</v>
      </c>
      <c r="F47">
        <f>INDEX(Students!F:F,MATCH(Master_Data!A47,Students!A:A,0))</f>
        <v>2.81</v>
      </c>
      <c r="G47" t="str">
        <f>INDEX(Students!G:G,MATCH(Master_Data!A47,Students!A:A,0))</f>
        <v>Yes</v>
      </c>
      <c r="H47">
        <f>INDEX(Engagement!B:B,MATCH(Master_Data!A47,Engagement!A:A,0))</f>
        <v>4</v>
      </c>
      <c r="I47">
        <f>INDEX(Engagement!C:C,MATCH(Master_Data!A47,Engagement!A:A,0))</f>
        <v>1</v>
      </c>
      <c r="J47">
        <f>INDEX(Engagement!D:D,MATCH(Master_Data!A47,Engagement!A:A,0))</f>
        <v>1</v>
      </c>
      <c r="K47">
        <f>INDEX(Engagement!E:E,MATCH(Master_Data!A47,Engagement!A:A,0))</f>
        <v>1</v>
      </c>
      <c r="L47" t="str">
        <f>INDEX(Outcomes!B:B,MATCH(Master_Data!A47,Engagement!A:A,0))</f>
        <v>Yes</v>
      </c>
      <c r="M47" t="str">
        <f>INDEX(Outcomes!C:C,MATCH(Master_Data!A47,Engagement!A:A,0))</f>
        <v>Employed</v>
      </c>
      <c r="N47" t="str">
        <f>INDEX(Outcomes!D:D,MATCH(Master_Data!A47,Engagement!A:A,0))</f>
        <v>Full-Time</v>
      </c>
      <c r="O47" t="str">
        <f>INDEX(Outcomes!E:E,MATCH(Master_Data!A47,Engagement!A:A,0))</f>
        <v>Finance</v>
      </c>
      <c r="P47">
        <f>INDEX(Outcomes!F:F,MATCH(Master_Data!A47,Engagement!A:A,0))</f>
        <v>72633</v>
      </c>
      <c r="Q47">
        <f>INDEX(Outcomes!G:G,MATCH(Master_Data!A47,Engagement!A:A,0))</f>
        <v>3</v>
      </c>
      <c r="R47">
        <f t="shared" si="0"/>
        <v>7</v>
      </c>
      <c r="S47" t="str">
        <f t="shared" si="1"/>
        <v>Positive Outcome</v>
      </c>
      <c r="T47" t="str">
        <f t="shared" si="2"/>
        <v>Between 50K and 75K</v>
      </c>
    </row>
    <row r="48" spans="1:20" x14ac:dyDescent="0.35">
      <c r="A48" t="s">
        <v>118</v>
      </c>
      <c r="B48" t="str">
        <f>INDEX(Students!B:B,MATCH(Master_Data!A48,Students!A:A,0))</f>
        <v>Casey Lewis</v>
      </c>
      <c r="C48" t="str">
        <f>INDEX(Students!C:C,MATCH(Master_Data!A48,Students!A:A,0))</f>
        <v>Business Analytics</v>
      </c>
      <c r="D48" t="str">
        <f>INDEX(Students!D:D,MATCH(Master_Data!A48,Students!A:A,0))</f>
        <v>Undergraduate</v>
      </c>
      <c r="E48">
        <f>INDEX(Students!E:E,MATCH(Master_Data!A48,Students!A:A,0))</f>
        <v>2026</v>
      </c>
      <c r="F48">
        <f>INDEX(Students!F:F,MATCH(Master_Data!A48,Students!A:A,0))</f>
        <v>3.32</v>
      </c>
      <c r="G48" t="str">
        <f>INDEX(Students!G:G,MATCH(Master_Data!A48,Students!A:A,0))</f>
        <v>Yes</v>
      </c>
      <c r="H48">
        <f>INDEX(Engagement!B:B,MATCH(Master_Data!A48,Engagement!A:A,0))</f>
        <v>2</v>
      </c>
      <c r="I48">
        <f>INDEX(Engagement!C:C,MATCH(Master_Data!A48,Engagement!A:A,0))</f>
        <v>1</v>
      </c>
      <c r="J48">
        <f>INDEX(Engagement!D:D,MATCH(Master_Data!A48,Engagement!A:A,0))</f>
        <v>2</v>
      </c>
      <c r="K48">
        <f>INDEX(Engagement!E:E,MATCH(Master_Data!A48,Engagement!A:A,0))</f>
        <v>0</v>
      </c>
      <c r="L48" t="str">
        <f>INDEX(Outcomes!B:B,MATCH(Master_Data!A48,Engagement!A:A,0))</f>
        <v>No</v>
      </c>
      <c r="M48" t="str">
        <f>INDEX(Outcomes!C:C,MATCH(Master_Data!A48,Engagement!A:A,0))</f>
        <v>Seeking</v>
      </c>
      <c r="N48" t="str">
        <f>INDEX(Outcomes!D:D,MATCH(Master_Data!A48,Engagement!A:A,0))</f>
        <v>NA</v>
      </c>
      <c r="O48" t="str">
        <f>INDEX(Outcomes!E:E,MATCH(Master_Data!A48,Engagement!A:A,0))</f>
        <v>NA</v>
      </c>
      <c r="P48">
        <f>INDEX(Outcomes!F:F,MATCH(Master_Data!A48,Engagement!A:A,0))</f>
        <v>0</v>
      </c>
      <c r="Q48">
        <f>INDEX(Outcomes!G:G,MATCH(Master_Data!A48,Engagement!A:A,0))</f>
        <v>0</v>
      </c>
      <c r="R48">
        <f t="shared" si="0"/>
        <v>5</v>
      </c>
      <c r="S48" t="str">
        <f t="shared" si="1"/>
        <v>Seeking</v>
      </c>
      <c r="T48" t="str">
        <f t="shared" si="2"/>
        <v>No Salary</v>
      </c>
    </row>
    <row r="49" spans="1:20" x14ac:dyDescent="0.35">
      <c r="A49" t="s">
        <v>120</v>
      </c>
      <c r="B49" t="str">
        <f>INDEX(Students!B:B,MATCH(Master_Data!A49,Students!A:A,0))</f>
        <v>Parker Johnson</v>
      </c>
      <c r="C49" t="str">
        <f>INDEX(Students!C:C,MATCH(Master_Data!A49,Students!A:A,0))</f>
        <v>Marketing</v>
      </c>
      <c r="D49" t="str">
        <f>INDEX(Students!D:D,MATCH(Master_Data!A49,Students!A:A,0))</f>
        <v>Undergraduate</v>
      </c>
      <c r="E49">
        <f>INDEX(Students!E:E,MATCH(Master_Data!A49,Students!A:A,0))</f>
        <v>2026</v>
      </c>
      <c r="F49">
        <f>INDEX(Students!F:F,MATCH(Master_Data!A49,Students!A:A,0))</f>
        <v>2.92</v>
      </c>
      <c r="G49" t="str">
        <f>INDEX(Students!G:G,MATCH(Master_Data!A49,Students!A:A,0))</f>
        <v>No</v>
      </c>
      <c r="H49">
        <f>INDEX(Engagement!B:B,MATCH(Master_Data!A49,Engagement!A:A,0))</f>
        <v>3</v>
      </c>
      <c r="I49">
        <f>INDEX(Engagement!C:C,MATCH(Master_Data!A49,Engagement!A:A,0))</f>
        <v>1</v>
      </c>
      <c r="J49">
        <f>INDEX(Engagement!D:D,MATCH(Master_Data!A49,Engagement!A:A,0))</f>
        <v>1</v>
      </c>
      <c r="K49">
        <f>INDEX(Engagement!E:E,MATCH(Master_Data!A49,Engagement!A:A,0))</f>
        <v>1</v>
      </c>
      <c r="L49" t="str">
        <f>INDEX(Outcomes!B:B,MATCH(Master_Data!A49,Engagement!A:A,0))</f>
        <v>Yes</v>
      </c>
      <c r="M49" t="str">
        <f>INDEX(Outcomes!C:C,MATCH(Master_Data!A49,Engagement!A:A,0))</f>
        <v>Seeking</v>
      </c>
      <c r="N49" t="str">
        <f>INDEX(Outcomes!D:D,MATCH(Master_Data!A49,Engagement!A:A,0))</f>
        <v>NA</v>
      </c>
      <c r="O49" t="str">
        <f>INDEX(Outcomes!E:E,MATCH(Master_Data!A49,Engagement!A:A,0))</f>
        <v>NA</v>
      </c>
      <c r="P49">
        <f>INDEX(Outcomes!F:F,MATCH(Master_Data!A49,Engagement!A:A,0))</f>
        <v>0</v>
      </c>
      <c r="Q49">
        <f>INDEX(Outcomes!G:G,MATCH(Master_Data!A49,Engagement!A:A,0))</f>
        <v>0</v>
      </c>
      <c r="R49">
        <f t="shared" si="0"/>
        <v>6</v>
      </c>
      <c r="S49" t="str">
        <f t="shared" si="1"/>
        <v>Seeking</v>
      </c>
      <c r="T49" t="str">
        <f t="shared" si="2"/>
        <v>No Salary</v>
      </c>
    </row>
    <row r="50" spans="1:20" x14ac:dyDescent="0.35">
      <c r="A50" t="s">
        <v>122</v>
      </c>
      <c r="B50" t="str">
        <f>INDEX(Students!B:B,MATCH(Master_Data!A50,Students!A:A,0))</f>
        <v>Quinn Hall</v>
      </c>
      <c r="C50" t="str">
        <f>INDEX(Students!C:C,MATCH(Master_Data!A50,Students!A:A,0))</f>
        <v>Finance</v>
      </c>
      <c r="D50" t="str">
        <f>INDEX(Students!D:D,MATCH(Master_Data!A50,Students!A:A,0))</f>
        <v>Graduate</v>
      </c>
      <c r="E50">
        <f>INDEX(Students!E:E,MATCH(Master_Data!A50,Students!A:A,0))</f>
        <v>2026</v>
      </c>
      <c r="F50">
        <f>INDEX(Students!F:F,MATCH(Master_Data!A50,Students!A:A,0))</f>
        <v>3</v>
      </c>
      <c r="G50" t="str">
        <f>INDEX(Students!G:G,MATCH(Master_Data!A50,Students!A:A,0))</f>
        <v>No</v>
      </c>
      <c r="H50">
        <f>INDEX(Engagement!B:B,MATCH(Master_Data!A50,Engagement!A:A,0))</f>
        <v>6</v>
      </c>
      <c r="I50">
        <f>INDEX(Engagement!C:C,MATCH(Master_Data!A50,Engagement!A:A,0))</f>
        <v>3</v>
      </c>
      <c r="J50">
        <f>INDEX(Engagement!D:D,MATCH(Master_Data!A50,Engagement!A:A,0))</f>
        <v>1</v>
      </c>
      <c r="K50">
        <f>INDEX(Engagement!E:E,MATCH(Master_Data!A50,Engagement!A:A,0))</f>
        <v>1</v>
      </c>
      <c r="L50" t="str">
        <f>INDEX(Outcomes!B:B,MATCH(Master_Data!A50,Engagement!A:A,0))</f>
        <v>Yes</v>
      </c>
      <c r="M50" t="str">
        <f>INDEX(Outcomes!C:C,MATCH(Master_Data!A50,Engagement!A:A,0))</f>
        <v>Employed</v>
      </c>
      <c r="N50" t="str">
        <f>INDEX(Outcomes!D:D,MATCH(Master_Data!A50,Engagement!A:A,0))</f>
        <v>Part-Time</v>
      </c>
      <c r="O50" t="str">
        <f>INDEX(Outcomes!E:E,MATCH(Master_Data!A50,Engagement!A:A,0))</f>
        <v>Consulting</v>
      </c>
      <c r="P50">
        <f>INDEX(Outcomes!F:F,MATCH(Master_Data!A50,Engagement!A:A,0))</f>
        <v>42232</v>
      </c>
      <c r="Q50">
        <f>INDEX(Outcomes!G:G,MATCH(Master_Data!A50,Engagement!A:A,0))</f>
        <v>2</v>
      </c>
      <c r="R50">
        <f t="shared" si="0"/>
        <v>11</v>
      </c>
      <c r="S50" t="str">
        <f t="shared" si="1"/>
        <v>Positive Outcome</v>
      </c>
      <c r="T50" t="str">
        <f t="shared" si="2"/>
        <v>Below 50K</v>
      </c>
    </row>
    <row r="51" spans="1:20" x14ac:dyDescent="0.35">
      <c r="A51" t="s">
        <v>123</v>
      </c>
      <c r="B51" t="str">
        <f>INDEX(Students!B:B,MATCH(Master_Data!A51,Students!A:A,0))</f>
        <v>Riley Jackson</v>
      </c>
      <c r="C51" t="str">
        <f>INDEX(Students!C:C,MATCH(Master_Data!A51,Students!A:A,0))</f>
        <v>Business Analytics</v>
      </c>
      <c r="D51" t="str">
        <f>INDEX(Students!D:D,MATCH(Master_Data!A51,Students!A:A,0))</f>
        <v>Graduate</v>
      </c>
      <c r="E51">
        <f>INDEX(Students!E:E,MATCH(Master_Data!A51,Students!A:A,0))</f>
        <v>2026</v>
      </c>
      <c r="F51">
        <f>INDEX(Students!F:F,MATCH(Master_Data!A51,Students!A:A,0))</f>
        <v>3.92</v>
      </c>
      <c r="G51" t="str">
        <f>INDEX(Students!G:G,MATCH(Master_Data!A51,Students!A:A,0))</f>
        <v>No</v>
      </c>
      <c r="H51">
        <f>INDEX(Engagement!B:B,MATCH(Master_Data!A51,Engagement!A:A,0))</f>
        <v>6</v>
      </c>
      <c r="I51">
        <f>INDEX(Engagement!C:C,MATCH(Master_Data!A51,Engagement!A:A,0))</f>
        <v>2</v>
      </c>
      <c r="J51">
        <f>INDEX(Engagement!D:D,MATCH(Master_Data!A51,Engagement!A:A,0))</f>
        <v>1</v>
      </c>
      <c r="K51">
        <f>INDEX(Engagement!E:E,MATCH(Master_Data!A51,Engagement!A:A,0))</f>
        <v>2</v>
      </c>
      <c r="L51" t="str">
        <f>INDEX(Outcomes!B:B,MATCH(Master_Data!A51,Engagement!A:A,0))</f>
        <v>Yes</v>
      </c>
      <c r="M51" t="str">
        <f>INDEX(Outcomes!C:C,MATCH(Master_Data!A51,Engagement!A:A,0))</f>
        <v>Employed</v>
      </c>
      <c r="N51" t="str">
        <f>INDEX(Outcomes!D:D,MATCH(Master_Data!A51,Engagement!A:A,0))</f>
        <v>Full-Time</v>
      </c>
      <c r="O51" t="str">
        <f>INDEX(Outcomes!E:E,MATCH(Master_Data!A51,Engagement!A:A,0))</f>
        <v>Technology</v>
      </c>
      <c r="P51">
        <f>INDEX(Outcomes!F:F,MATCH(Master_Data!A51,Engagement!A:A,0))</f>
        <v>82604</v>
      </c>
      <c r="Q51">
        <f>INDEX(Outcomes!G:G,MATCH(Master_Data!A51,Engagement!A:A,0))</f>
        <v>2</v>
      </c>
      <c r="R51">
        <f t="shared" si="0"/>
        <v>11</v>
      </c>
      <c r="S51" t="str">
        <f t="shared" si="1"/>
        <v>Positive Outcome</v>
      </c>
      <c r="T51" t="str">
        <f t="shared" si="2"/>
        <v>Above 75K</v>
      </c>
    </row>
    <row r="52" spans="1:20" x14ac:dyDescent="0.35">
      <c r="A52" t="s">
        <v>125</v>
      </c>
      <c r="B52" t="str">
        <f>INDEX(Students!B:B,MATCH(Master_Data!A52,Students!A:A,0))</f>
        <v>Cameron Wilson</v>
      </c>
      <c r="C52" t="str">
        <f>INDEX(Students!C:C,MATCH(Master_Data!A52,Students!A:A,0))</f>
        <v>Business Analytics</v>
      </c>
      <c r="D52" t="str">
        <f>INDEX(Students!D:D,MATCH(Master_Data!A52,Students!A:A,0))</f>
        <v>Graduate</v>
      </c>
      <c r="E52">
        <f>INDEX(Students!E:E,MATCH(Master_Data!A52,Students!A:A,0))</f>
        <v>2026</v>
      </c>
      <c r="F52">
        <f>INDEX(Students!F:F,MATCH(Master_Data!A52,Students!A:A,0))</f>
        <v>2.85</v>
      </c>
      <c r="G52" t="str">
        <f>INDEX(Students!G:G,MATCH(Master_Data!A52,Students!A:A,0))</f>
        <v>No</v>
      </c>
      <c r="H52">
        <f>INDEX(Engagement!B:B,MATCH(Master_Data!A52,Engagement!A:A,0))</f>
        <v>6</v>
      </c>
      <c r="I52">
        <f>INDEX(Engagement!C:C,MATCH(Master_Data!A52,Engagement!A:A,0))</f>
        <v>2</v>
      </c>
      <c r="J52">
        <f>INDEX(Engagement!D:D,MATCH(Master_Data!A52,Engagement!A:A,0))</f>
        <v>3</v>
      </c>
      <c r="K52">
        <f>INDEX(Engagement!E:E,MATCH(Master_Data!A52,Engagement!A:A,0))</f>
        <v>3</v>
      </c>
      <c r="L52" t="str">
        <f>INDEX(Outcomes!B:B,MATCH(Master_Data!A52,Engagement!A:A,0))</f>
        <v>Yes</v>
      </c>
      <c r="M52" t="str">
        <f>INDEX(Outcomes!C:C,MATCH(Master_Data!A52,Engagement!A:A,0))</f>
        <v>Employed</v>
      </c>
      <c r="N52" t="str">
        <f>INDEX(Outcomes!D:D,MATCH(Master_Data!A52,Engagement!A:A,0))</f>
        <v>Full-Time</v>
      </c>
      <c r="O52" t="str">
        <f>INDEX(Outcomes!E:E,MATCH(Master_Data!A52,Engagement!A:A,0))</f>
        <v>Consulting</v>
      </c>
      <c r="P52">
        <f>INDEX(Outcomes!F:F,MATCH(Master_Data!A52,Engagement!A:A,0))</f>
        <v>64222</v>
      </c>
      <c r="Q52">
        <f>INDEX(Outcomes!G:G,MATCH(Master_Data!A52,Engagement!A:A,0))</f>
        <v>2</v>
      </c>
      <c r="R52">
        <f t="shared" si="0"/>
        <v>14</v>
      </c>
      <c r="S52" t="str">
        <f t="shared" si="1"/>
        <v>Positive Outcome</v>
      </c>
      <c r="T52" t="str">
        <f t="shared" si="2"/>
        <v>Between 50K and 75K</v>
      </c>
    </row>
    <row r="53" spans="1:20" x14ac:dyDescent="0.35">
      <c r="A53" t="s">
        <v>127</v>
      </c>
      <c r="B53" t="str">
        <f>INDEX(Students!B:B,MATCH(Master_Data!A53,Students!A:A,0))</f>
        <v>Avery White</v>
      </c>
      <c r="C53" t="str">
        <f>INDEX(Students!C:C,MATCH(Master_Data!A53,Students!A:A,0))</f>
        <v>Computer Science</v>
      </c>
      <c r="D53" t="str">
        <f>INDEX(Students!D:D,MATCH(Master_Data!A53,Students!A:A,0))</f>
        <v>Graduate</v>
      </c>
      <c r="E53">
        <f>INDEX(Students!E:E,MATCH(Master_Data!A53,Students!A:A,0))</f>
        <v>2027</v>
      </c>
      <c r="F53">
        <f>INDEX(Students!F:F,MATCH(Master_Data!A53,Students!A:A,0))</f>
        <v>3.07</v>
      </c>
      <c r="G53" t="str">
        <f>INDEX(Students!G:G,MATCH(Master_Data!A53,Students!A:A,0))</f>
        <v>No</v>
      </c>
      <c r="H53">
        <f>INDEX(Engagement!B:B,MATCH(Master_Data!A53,Engagement!A:A,0))</f>
        <v>4</v>
      </c>
      <c r="I53">
        <f>INDEX(Engagement!C:C,MATCH(Master_Data!A53,Engagement!A:A,0))</f>
        <v>0</v>
      </c>
      <c r="J53">
        <f>INDEX(Engagement!D:D,MATCH(Master_Data!A53,Engagement!A:A,0))</f>
        <v>1</v>
      </c>
      <c r="K53">
        <f>INDEX(Engagement!E:E,MATCH(Master_Data!A53,Engagement!A:A,0))</f>
        <v>3</v>
      </c>
      <c r="L53" t="str">
        <f>INDEX(Outcomes!B:B,MATCH(Master_Data!A53,Engagement!A:A,0))</f>
        <v>Yes</v>
      </c>
      <c r="M53" t="str">
        <f>INDEX(Outcomes!C:C,MATCH(Master_Data!A53,Engagement!A:A,0))</f>
        <v>Employed</v>
      </c>
      <c r="N53" t="str">
        <f>INDEX(Outcomes!D:D,MATCH(Master_Data!A53,Engagement!A:A,0))</f>
        <v>Internship</v>
      </c>
      <c r="O53" t="str">
        <f>INDEX(Outcomes!E:E,MATCH(Master_Data!A53,Engagement!A:A,0))</f>
        <v>Marketing</v>
      </c>
      <c r="P53">
        <f>INDEX(Outcomes!F:F,MATCH(Master_Data!A53,Engagement!A:A,0))</f>
        <v>33626</v>
      </c>
      <c r="Q53">
        <f>INDEX(Outcomes!G:G,MATCH(Master_Data!A53,Engagement!A:A,0))</f>
        <v>6</v>
      </c>
      <c r="R53">
        <f t="shared" si="0"/>
        <v>8</v>
      </c>
      <c r="S53" t="str">
        <f t="shared" si="1"/>
        <v>Positive Outcome</v>
      </c>
      <c r="T53" t="str">
        <f t="shared" si="2"/>
        <v>Below 50K</v>
      </c>
    </row>
    <row r="54" spans="1:20" x14ac:dyDescent="0.35">
      <c r="A54" t="s">
        <v>129</v>
      </c>
      <c r="B54" t="str">
        <f>INDEX(Students!B:B,MATCH(Master_Data!A54,Students!A:A,0))</f>
        <v>Reese Thomas</v>
      </c>
      <c r="C54" t="str">
        <f>INDEX(Students!C:C,MATCH(Master_Data!A54,Students!A:A,0))</f>
        <v>Computer Science</v>
      </c>
      <c r="D54" t="str">
        <f>INDEX(Students!D:D,MATCH(Master_Data!A54,Students!A:A,0))</f>
        <v>Undergraduate</v>
      </c>
      <c r="E54">
        <f>INDEX(Students!E:E,MATCH(Master_Data!A54,Students!A:A,0))</f>
        <v>2027</v>
      </c>
      <c r="F54">
        <f>INDEX(Students!F:F,MATCH(Master_Data!A54,Students!A:A,0))</f>
        <v>3.22</v>
      </c>
      <c r="G54" t="str">
        <f>INDEX(Students!G:G,MATCH(Master_Data!A54,Students!A:A,0))</f>
        <v>No</v>
      </c>
      <c r="H54">
        <f>INDEX(Engagement!B:B,MATCH(Master_Data!A54,Engagement!A:A,0))</f>
        <v>4</v>
      </c>
      <c r="I54">
        <f>INDEX(Engagement!C:C,MATCH(Master_Data!A54,Engagement!A:A,0))</f>
        <v>1</v>
      </c>
      <c r="J54">
        <f>INDEX(Engagement!D:D,MATCH(Master_Data!A54,Engagement!A:A,0))</f>
        <v>3</v>
      </c>
      <c r="K54">
        <f>INDEX(Engagement!E:E,MATCH(Master_Data!A54,Engagement!A:A,0))</f>
        <v>1</v>
      </c>
      <c r="L54" t="str">
        <f>INDEX(Outcomes!B:B,MATCH(Master_Data!A54,Engagement!A:A,0))</f>
        <v>No</v>
      </c>
      <c r="M54" t="str">
        <f>INDEX(Outcomes!C:C,MATCH(Master_Data!A54,Engagement!A:A,0))</f>
        <v>Employed</v>
      </c>
      <c r="N54" t="str">
        <f>INDEX(Outcomes!D:D,MATCH(Master_Data!A54,Engagement!A:A,0))</f>
        <v>Full-Time</v>
      </c>
      <c r="O54" t="str">
        <f>INDEX(Outcomes!E:E,MATCH(Master_Data!A54,Engagement!A:A,0))</f>
        <v>Technology</v>
      </c>
      <c r="P54">
        <f>INDEX(Outcomes!F:F,MATCH(Master_Data!A54,Engagement!A:A,0))</f>
        <v>71774</v>
      </c>
      <c r="Q54">
        <f>INDEX(Outcomes!G:G,MATCH(Master_Data!A54,Engagement!A:A,0))</f>
        <v>2</v>
      </c>
      <c r="R54">
        <f t="shared" si="0"/>
        <v>9</v>
      </c>
      <c r="S54" t="str">
        <f t="shared" si="1"/>
        <v>Positive Outcome</v>
      </c>
      <c r="T54" t="str">
        <f t="shared" si="2"/>
        <v>Between 50K and 75K</v>
      </c>
    </row>
    <row r="55" spans="1:20" x14ac:dyDescent="0.35">
      <c r="A55" t="s">
        <v>131</v>
      </c>
      <c r="B55" t="str">
        <f>INDEX(Students!B:B,MATCH(Master_Data!A55,Students!A:A,0))</f>
        <v>Rowan Thomas</v>
      </c>
      <c r="C55" t="str">
        <f>INDEX(Students!C:C,MATCH(Master_Data!A55,Students!A:A,0))</f>
        <v>Marketing</v>
      </c>
      <c r="D55" t="str">
        <f>INDEX(Students!D:D,MATCH(Master_Data!A55,Students!A:A,0))</f>
        <v>Undergraduate</v>
      </c>
      <c r="E55">
        <f>INDEX(Students!E:E,MATCH(Master_Data!A55,Students!A:A,0))</f>
        <v>2027</v>
      </c>
      <c r="F55">
        <f>INDEX(Students!F:F,MATCH(Master_Data!A55,Students!A:A,0))</f>
        <v>3.01</v>
      </c>
      <c r="G55" t="str">
        <f>INDEX(Students!G:G,MATCH(Master_Data!A55,Students!A:A,0))</f>
        <v>No</v>
      </c>
      <c r="H55">
        <f>INDEX(Engagement!B:B,MATCH(Master_Data!A55,Engagement!A:A,0))</f>
        <v>3</v>
      </c>
      <c r="I55">
        <f>INDEX(Engagement!C:C,MATCH(Master_Data!A55,Engagement!A:A,0))</f>
        <v>0</v>
      </c>
      <c r="J55">
        <f>INDEX(Engagement!D:D,MATCH(Master_Data!A55,Engagement!A:A,0))</f>
        <v>2</v>
      </c>
      <c r="K55">
        <f>INDEX(Engagement!E:E,MATCH(Master_Data!A55,Engagement!A:A,0))</f>
        <v>1</v>
      </c>
      <c r="L55" t="str">
        <f>INDEX(Outcomes!B:B,MATCH(Master_Data!A55,Engagement!A:A,0))</f>
        <v>Yes</v>
      </c>
      <c r="M55" t="str">
        <f>INDEX(Outcomes!C:C,MATCH(Master_Data!A55,Engagement!A:A,0))</f>
        <v>Employed</v>
      </c>
      <c r="N55" t="str">
        <f>INDEX(Outcomes!D:D,MATCH(Master_Data!A55,Engagement!A:A,0))</f>
        <v>Full-Time</v>
      </c>
      <c r="O55" t="str">
        <f>INDEX(Outcomes!E:E,MATCH(Master_Data!A55,Engagement!A:A,0))</f>
        <v>Consulting</v>
      </c>
      <c r="P55">
        <f>INDEX(Outcomes!F:F,MATCH(Master_Data!A55,Engagement!A:A,0))</f>
        <v>71544</v>
      </c>
      <c r="Q55">
        <f>INDEX(Outcomes!G:G,MATCH(Master_Data!A55,Engagement!A:A,0))</f>
        <v>5</v>
      </c>
      <c r="R55">
        <f t="shared" si="0"/>
        <v>6</v>
      </c>
      <c r="S55" t="str">
        <f t="shared" si="1"/>
        <v>Positive Outcome</v>
      </c>
      <c r="T55" t="str">
        <f t="shared" si="2"/>
        <v>Between 50K and 75K</v>
      </c>
    </row>
    <row r="56" spans="1:20" x14ac:dyDescent="0.35">
      <c r="A56" t="s">
        <v>133</v>
      </c>
      <c r="B56" t="str">
        <f>INDEX(Students!B:B,MATCH(Master_Data!A56,Students!A:A,0))</f>
        <v>Drew Johnson</v>
      </c>
      <c r="C56" t="str">
        <f>INDEX(Students!C:C,MATCH(Master_Data!A56,Students!A:A,0))</f>
        <v>Business Analytics</v>
      </c>
      <c r="D56" t="str">
        <f>INDEX(Students!D:D,MATCH(Master_Data!A56,Students!A:A,0))</f>
        <v>Undergraduate</v>
      </c>
      <c r="E56">
        <f>INDEX(Students!E:E,MATCH(Master_Data!A56,Students!A:A,0))</f>
        <v>2027</v>
      </c>
      <c r="F56">
        <f>INDEX(Students!F:F,MATCH(Master_Data!A56,Students!A:A,0))</f>
        <v>3.18</v>
      </c>
      <c r="G56" t="str">
        <f>INDEX(Students!G:G,MATCH(Master_Data!A56,Students!A:A,0))</f>
        <v>No</v>
      </c>
      <c r="H56">
        <f>INDEX(Engagement!B:B,MATCH(Master_Data!A56,Engagement!A:A,0))</f>
        <v>2</v>
      </c>
      <c r="I56">
        <f>INDEX(Engagement!C:C,MATCH(Master_Data!A56,Engagement!A:A,0))</f>
        <v>2</v>
      </c>
      <c r="J56">
        <f>INDEX(Engagement!D:D,MATCH(Master_Data!A56,Engagement!A:A,0))</f>
        <v>2</v>
      </c>
      <c r="K56">
        <f>INDEX(Engagement!E:E,MATCH(Master_Data!A56,Engagement!A:A,0))</f>
        <v>1</v>
      </c>
      <c r="L56" t="str">
        <f>INDEX(Outcomes!B:B,MATCH(Master_Data!A56,Engagement!A:A,0))</f>
        <v>No</v>
      </c>
      <c r="M56" t="str">
        <f>INDEX(Outcomes!C:C,MATCH(Master_Data!A56,Engagement!A:A,0))</f>
        <v>Seeking</v>
      </c>
      <c r="N56" t="str">
        <f>INDEX(Outcomes!D:D,MATCH(Master_Data!A56,Engagement!A:A,0))</f>
        <v>NA</v>
      </c>
      <c r="O56" t="str">
        <f>INDEX(Outcomes!E:E,MATCH(Master_Data!A56,Engagement!A:A,0))</f>
        <v>NA</v>
      </c>
      <c r="P56">
        <f>INDEX(Outcomes!F:F,MATCH(Master_Data!A56,Engagement!A:A,0))</f>
        <v>0</v>
      </c>
      <c r="Q56">
        <f>INDEX(Outcomes!G:G,MATCH(Master_Data!A56,Engagement!A:A,0))</f>
        <v>0</v>
      </c>
      <c r="R56">
        <f t="shared" si="0"/>
        <v>7</v>
      </c>
      <c r="S56" t="str">
        <f t="shared" si="1"/>
        <v>Seeking</v>
      </c>
      <c r="T56" t="str">
        <f t="shared" si="2"/>
        <v>No Salary</v>
      </c>
    </row>
    <row r="57" spans="1:20" x14ac:dyDescent="0.35">
      <c r="A57" t="s">
        <v>135</v>
      </c>
      <c r="B57" t="str">
        <f>INDEX(Students!B:B,MATCH(Master_Data!A57,Students!A:A,0))</f>
        <v>Blake Lee</v>
      </c>
      <c r="C57" t="str">
        <f>INDEX(Students!C:C,MATCH(Master_Data!A57,Students!A:A,0))</f>
        <v>Computer Science</v>
      </c>
      <c r="D57" t="str">
        <f>INDEX(Students!D:D,MATCH(Master_Data!A57,Students!A:A,0))</f>
        <v>Graduate</v>
      </c>
      <c r="E57">
        <f>INDEX(Students!E:E,MATCH(Master_Data!A57,Students!A:A,0))</f>
        <v>2026</v>
      </c>
      <c r="F57">
        <f>INDEX(Students!F:F,MATCH(Master_Data!A57,Students!A:A,0))</f>
        <v>3.65</v>
      </c>
      <c r="G57" t="str">
        <f>INDEX(Students!G:G,MATCH(Master_Data!A57,Students!A:A,0))</f>
        <v>Yes</v>
      </c>
      <c r="H57">
        <f>INDEX(Engagement!B:B,MATCH(Master_Data!A57,Engagement!A:A,0))</f>
        <v>3</v>
      </c>
      <c r="I57">
        <f>INDEX(Engagement!C:C,MATCH(Master_Data!A57,Engagement!A:A,0))</f>
        <v>3</v>
      </c>
      <c r="J57">
        <f>INDEX(Engagement!D:D,MATCH(Master_Data!A57,Engagement!A:A,0))</f>
        <v>2</v>
      </c>
      <c r="K57">
        <f>INDEX(Engagement!E:E,MATCH(Master_Data!A57,Engagement!A:A,0))</f>
        <v>2</v>
      </c>
      <c r="L57" t="str">
        <f>INDEX(Outcomes!B:B,MATCH(Master_Data!A57,Engagement!A:A,0))</f>
        <v>Yes</v>
      </c>
      <c r="M57" t="str">
        <f>INDEX(Outcomes!C:C,MATCH(Master_Data!A57,Engagement!A:A,0))</f>
        <v>Employed</v>
      </c>
      <c r="N57" t="str">
        <f>INDEX(Outcomes!D:D,MATCH(Master_Data!A57,Engagement!A:A,0))</f>
        <v>Full-Time</v>
      </c>
      <c r="O57" t="str">
        <f>INDEX(Outcomes!E:E,MATCH(Master_Data!A57,Engagement!A:A,0))</f>
        <v>Retail</v>
      </c>
      <c r="P57">
        <f>INDEX(Outcomes!F:F,MATCH(Master_Data!A57,Engagement!A:A,0))</f>
        <v>63773</v>
      </c>
      <c r="Q57">
        <f>INDEX(Outcomes!G:G,MATCH(Master_Data!A57,Engagement!A:A,0))</f>
        <v>1</v>
      </c>
      <c r="R57">
        <f t="shared" si="0"/>
        <v>10</v>
      </c>
      <c r="S57" t="str">
        <f t="shared" si="1"/>
        <v>Positive Outcome</v>
      </c>
      <c r="T57" t="str">
        <f t="shared" si="2"/>
        <v>Between 50K and 75K</v>
      </c>
    </row>
    <row r="58" spans="1:20" x14ac:dyDescent="0.35">
      <c r="A58" t="s">
        <v>137</v>
      </c>
      <c r="B58" t="str">
        <f>INDEX(Students!B:B,MATCH(Master_Data!A58,Students!A:A,0))</f>
        <v>Rowan Miller</v>
      </c>
      <c r="C58" t="str">
        <f>INDEX(Students!C:C,MATCH(Master_Data!A58,Students!A:A,0))</f>
        <v>Computer Science</v>
      </c>
      <c r="D58" t="str">
        <f>INDEX(Students!D:D,MATCH(Master_Data!A58,Students!A:A,0))</f>
        <v>Undergraduate</v>
      </c>
      <c r="E58">
        <f>INDEX(Students!E:E,MATCH(Master_Data!A58,Students!A:A,0))</f>
        <v>2027</v>
      </c>
      <c r="F58">
        <f>INDEX(Students!F:F,MATCH(Master_Data!A58,Students!A:A,0))</f>
        <v>3.2</v>
      </c>
      <c r="G58" t="str">
        <f>INDEX(Students!G:G,MATCH(Master_Data!A58,Students!A:A,0))</f>
        <v>Yes</v>
      </c>
      <c r="H58">
        <f>INDEX(Engagement!B:B,MATCH(Master_Data!A58,Engagement!A:A,0))</f>
        <v>2</v>
      </c>
      <c r="I58">
        <f>INDEX(Engagement!C:C,MATCH(Master_Data!A58,Engagement!A:A,0))</f>
        <v>0</v>
      </c>
      <c r="J58">
        <f>INDEX(Engagement!D:D,MATCH(Master_Data!A58,Engagement!A:A,0))</f>
        <v>2</v>
      </c>
      <c r="K58">
        <f>INDEX(Engagement!E:E,MATCH(Master_Data!A58,Engagement!A:A,0))</f>
        <v>1</v>
      </c>
      <c r="L58" t="str">
        <f>INDEX(Outcomes!B:B,MATCH(Master_Data!A58,Engagement!A:A,0))</f>
        <v>No</v>
      </c>
      <c r="M58" t="str">
        <f>INDEX(Outcomes!C:C,MATCH(Master_Data!A58,Engagement!A:A,0))</f>
        <v>Employed</v>
      </c>
      <c r="N58" t="str">
        <f>INDEX(Outcomes!D:D,MATCH(Master_Data!A58,Engagement!A:A,0))</f>
        <v>Full-Time</v>
      </c>
      <c r="O58" t="str">
        <f>INDEX(Outcomes!E:E,MATCH(Master_Data!A58,Engagement!A:A,0))</f>
        <v>Technology</v>
      </c>
      <c r="P58">
        <f>INDEX(Outcomes!F:F,MATCH(Master_Data!A58,Engagement!A:A,0))</f>
        <v>69253</v>
      </c>
      <c r="Q58">
        <f>INDEX(Outcomes!G:G,MATCH(Master_Data!A58,Engagement!A:A,0))</f>
        <v>1</v>
      </c>
      <c r="R58">
        <f t="shared" si="0"/>
        <v>5</v>
      </c>
      <c r="S58" t="str">
        <f t="shared" si="1"/>
        <v>Positive Outcome</v>
      </c>
      <c r="T58" t="str">
        <f t="shared" si="2"/>
        <v>Between 50K and 75K</v>
      </c>
    </row>
    <row r="59" spans="1:20" x14ac:dyDescent="0.35">
      <c r="A59" t="s">
        <v>138</v>
      </c>
      <c r="B59" t="str">
        <f>INDEX(Students!B:B,MATCH(Master_Data!A59,Students!A:A,0))</f>
        <v>Morgan Anderson</v>
      </c>
      <c r="C59" t="str">
        <f>INDEX(Students!C:C,MATCH(Master_Data!A59,Students!A:A,0))</f>
        <v>Economics</v>
      </c>
      <c r="D59" t="str">
        <f>INDEX(Students!D:D,MATCH(Master_Data!A59,Students!A:A,0))</f>
        <v>Graduate</v>
      </c>
      <c r="E59">
        <f>INDEX(Students!E:E,MATCH(Master_Data!A59,Students!A:A,0))</f>
        <v>2026</v>
      </c>
      <c r="F59">
        <f>INDEX(Students!F:F,MATCH(Master_Data!A59,Students!A:A,0))</f>
        <v>3.64</v>
      </c>
      <c r="G59" t="str">
        <f>INDEX(Students!G:G,MATCH(Master_Data!A59,Students!A:A,0))</f>
        <v>No</v>
      </c>
      <c r="H59">
        <f>INDEX(Engagement!B:B,MATCH(Master_Data!A59,Engagement!A:A,0))</f>
        <v>4</v>
      </c>
      <c r="I59">
        <f>INDEX(Engagement!C:C,MATCH(Master_Data!A59,Engagement!A:A,0))</f>
        <v>4</v>
      </c>
      <c r="J59">
        <f>INDEX(Engagement!D:D,MATCH(Master_Data!A59,Engagement!A:A,0))</f>
        <v>0</v>
      </c>
      <c r="K59">
        <f>INDEX(Engagement!E:E,MATCH(Master_Data!A59,Engagement!A:A,0))</f>
        <v>2</v>
      </c>
      <c r="L59" t="str">
        <f>INDEX(Outcomes!B:B,MATCH(Master_Data!A59,Engagement!A:A,0))</f>
        <v>Yes</v>
      </c>
      <c r="M59" t="str">
        <f>INDEX(Outcomes!C:C,MATCH(Master_Data!A59,Engagement!A:A,0))</f>
        <v>Employed</v>
      </c>
      <c r="N59" t="str">
        <f>INDEX(Outcomes!D:D,MATCH(Master_Data!A59,Engagement!A:A,0))</f>
        <v>Part-Time</v>
      </c>
      <c r="O59" t="str">
        <f>INDEX(Outcomes!E:E,MATCH(Master_Data!A59,Engagement!A:A,0))</f>
        <v>Healthcare</v>
      </c>
      <c r="P59">
        <f>INDEX(Outcomes!F:F,MATCH(Master_Data!A59,Engagement!A:A,0))</f>
        <v>41785</v>
      </c>
      <c r="Q59">
        <f>INDEX(Outcomes!G:G,MATCH(Master_Data!A59,Engagement!A:A,0))</f>
        <v>2</v>
      </c>
      <c r="R59">
        <f t="shared" si="0"/>
        <v>10</v>
      </c>
      <c r="S59" t="str">
        <f t="shared" si="1"/>
        <v>Positive Outcome</v>
      </c>
      <c r="T59" t="str">
        <f t="shared" si="2"/>
        <v>Below 50K</v>
      </c>
    </row>
    <row r="60" spans="1:20" x14ac:dyDescent="0.35">
      <c r="A60" t="s">
        <v>140</v>
      </c>
      <c r="B60" t="str">
        <f>INDEX(Students!B:B,MATCH(Master_Data!A60,Students!A:A,0))</f>
        <v>Avery Jackson</v>
      </c>
      <c r="C60" t="str">
        <f>INDEX(Students!C:C,MATCH(Master_Data!A60,Students!A:A,0))</f>
        <v>Data Science</v>
      </c>
      <c r="D60" t="str">
        <f>INDEX(Students!D:D,MATCH(Master_Data!A60,Students!A:A,0))</f>
        <v>Undergraduate</v>
      </c>
      <c r="E60">
        <f>INDEX(Students!E:E,MATCH(Master_Data!A60,Students!A:A,0))</f>
        <v>2027</v>
      </c>
      <c r="F60">
        <f>INDEX(Students!F:F,MATCH(Master_Data!A60,Students!A:A,0))</f>
        <v>3.01</v>
      </c>
      <c r="G60" t="str">
        <f>INDEX(Students!G:G,MATCH(Master_Data!A60,Students!A:A,0))</f>
        <v>No</v>
      </c>
      <c r="H60">
        <f>INDEX(Engagement!B:B,MATCH(Master_Data!A60,Engagement!A:A,0))</f>
        <v>4</v>
      </c>
      <c r="I60">
        <f>INDEX(Engagement!C:C,MATCH(Master_Data!A60,Engagement!A:A,0))</f>
        <v>2</v>
      </c>
      <c r="J60">
        <f>INDEX(Engagement!D:D,MATCH(Master_Data!A60,Engagement!A:A,0))</f>
        <v>2</v>
      </c>
      <c r="K60">
        <f>INDEX(Engagement!E:E,MATCH(Master_Data!A60,Engagement!A:A,0))</f>
        <v>0</v>
      </c>
      <c r="L60" t="str">
        <f>INDEX(Outcomes!B:B,MATCH(Master_Data!A60,Engagement!A:A,0))</f>
        <v>Yes</v>
      </c>
      <c r="M60" t="str">
        <f>INDEX(Outcomes!C:C,MATCH(Master_Data!A60,Engagement!A:A,0))</f>
        <v>Employed</v>
      </c>
      <c r="N60" t="str">
        <f>INDEX(Outcomes!D:D,MATCH(Master_Data!A60,Engagement!A:A,0))</f>
        <v>Full-Time</v>
      </c>
      <c r="O60" t="str">
        <f>INDEX(Outcomes!E:E,MATCH(Master_Data!A60,Engagement!A:A,0))</f>
        <v>Technology</v>
      </c>
      <c r="P60">
        <f>INDEX(Outcomes!F:F,MATCH(Master_Data!A60,Engagement!A:A,0))</f>
        <v>72947</v>
      </c>
      <c r="Q60">
        <f>INDEX(Outcomes!G:G,MATCH(Master_Data!A60,Engagement!A:A,0))</f>
        <v>3</v>
      </c>
      <c r="R60">
        <f t="shared" si="0"/>
        <v>8</v>
      </c>
      <c r="S60" t="str">
        <f t="shared" si="1"/>
        <v>Positive Outcome</v>
      </c>
      <c r="T60" t="str">
        <f t="shared" si="2"/>
        <v>Between 50K and 75K</v>
      </c>
    </row>
    <row r="61" spans="1:20" x14ac:dyDescent="0.35">
      <c r="A61" t="s">
        <v>142</v>
      </c>
      <c r="B61" t="str">
        <f>INDEX(Students!B:B,MATCH(Master_Data!A61,Students!A:A,0))</f>
        <v>Reese Lewis</v>
      </c>
      <c r="C61" t="str">
        <f>INDEX(Students!C:C,MATCH(Master_Data!A61,Students!A:A,0))</f>
        <v>Finance</v>
      </c>
      <c r="D61" t="str">
        <f>INDEX(Students!D:D,MATCH(Master_Data!A61,Students!A:A,0))</f>
        <v>Undergraduate</v>
      </c>
      <c r="E61">
        <f>INDEX(Students!E:E,MATCH(Master_Data!A61,Students!A:A,0))</f>
        <v>2026</v>
      </c>
      <c r="F61">
        <f>INDEX(Students!F:F,MATCH(Master_Data!A61,Students!A:A,0))</f>
        <v>3.74</v>
      </c>
      <c r="G61" t="str">
        <f>INDEX(Students!G:G,MATCH(Master_Data!A61,Students!A:A,0))</f>
        <v>No</v>
      </c>
      <c r="H61">
        <f>INDEX(Engagement!B:B,MATCH(Master_Data!A61,Engagement!A:A,0))</f>
        <v>4</v>
      </c>
      <c r="I61">
        <f>INDEX(Engagement!C:C,MATCH(Master_Data!A61,Engagement!A:A,0))</f>
        <v>0</v>
      </c>
      <c r="J61">
        <f>INDEX(Engagement!D:D,MATCH(Master_Data!A61,Engagement!A:A,0))</f>
        <v>2</v>
      </c>
      <c r="K61">
        <f>INDEX(Engagement!E:E,MATCH(Master_Data!A61,Engagement!A:A,0))</f>
        <v>1</v>
      </c>
      <c r="L61" t="str">
        <f>INDEX(Outcomes!B:B,MATCH(Master_Data!A61,Engagement!A:A,0))</f>
        <v>No</v>
      </c>
      <c r="M61" t="str">
        <f>INDEX(Outcomes!C:C,MATCH(Master_Data!A61,Engagement!A:A,0))</f>
        <v>Seeking</v>
      </c>
      <c r="N61" t="str">
        <f>INDEX(Outcomes!D:D,MATCH(Master_Data!A61,Engagement!A:A,0))</f>
        <v>NA</v>
      </c>
      <c r="O61" t="str">
        <f>INDEX(Outcomes!E:E,MATCH(Master_Data!A61,Engagement!A:A,0))</f>
        <v>NA</v>
      </c>
      <c r="P61">
        <f>INDEX(Outcomes!F:F,MATCH(Master_Data!A61,Engagement!A:A,0))</f>
        <v>0</v>
      </c>
      <c r="Q61">
        <f>INDEX(Outcomes!G:G,MATCH(Master_Data!A61,Engagement!A:A,0))</f>
        <v>0</v>
      </c>
      <c r="R61">
        <f t="shared" si="0"/>
        <v>7</v>
      </c>
      <c r="S61" t="str">
        <f t="shared" si="1"/>
        <v>Seeking</v>
      </c>
      <c r="T61" t="str">
        <f t="shared" si="2"/>
        <v>No Salary</v>
      </c>
    </row>
    <row r="62" spans="1:20" x14ac:dyDescent="0.35">
      <c r="A62" t="s">
        <v>144</v>
      </c>
      <c r="B62" t="str">
        <f>INDEX(Students!B:B,MATCH(Master_Data!A62,Students!A:A,0))</f>
        <v>Skyler White</v>
      </c>
      <c r="C62" t="str">
        <f>INDEX(Students!C:C,MATCH(Master_Data!A62,Students!A:A,0))</f>
        <v>Economics</v>
      </c>
      <c r="D62" t="str">
        <f>INDEX(Students!D:D,MATCH(Master_Data!A62,Students!A:A,0))</f>
        <v>Graduate</v>
      </c>
      <c r="E62">
        <f>INDEX(Students!E:E,MATCH(Master_Data!A62,Students!A:A,0))</f>
        <v>2026</v>
      </c>
      <c r="F62">
        <f>INDEX(Students!F:F,MATCH(Master_Data!A62,Students!A:A,0))</f>
        <v>3.75</v>
      </c>
      <c r="G62" t="str">
        <f>INDEX(Students!G:G,MATCH(Master_Data!A62,Students!A:A,0))</f>
        <v>No</v>
      </c>
      <c r="H62">
        <f>INDEX(Engagement!B:B,MATCH(Master_Data!A62,Engagement!A:A,0))</f>
        <v>5</v>
      </c>
      <c r="I62">
        <f>INDEX(Engagement!C:C,MATCH(Master_Data!A62,Engagement!A:A,0))</f>
        <v>2</v>
      </c>
      <c r="J62">
        <f>INDEX(Engagement!D:D,MATCH(Master_Data!A62,Engagement!A:A,0))</f>
        <v>0</v>
      </c>
      <c r="K62">
        <f>INDEX(Engagement!E:E,MATCH(Master_Data!A62,Engagement!A:A,0))</f>
        <v>1</v>
      </c>
      <c r="L62" t="str">
        <f>INDEX(Outcomes!B:B,MATCH(Master_Data!A62,Engagement!A:A,0))</f>
        <v>Yes</v>
      </c>
      <c r="M62" t="str">
        <f>INDEX(Outcomes!C:C,MATCH(Master_Data!A62,Engagement!A:A,0))</f>
        <v>Continuing Education</v>
      </c>
      <c r="N62" t="str">
        <f>INDEX(Outcomes!D:D,MATCH(Master_Data!A62,Engagement!A:A,0))</f>
        <v>NA</v>
      </c>
      <c r="O62" t="str">
        <f>INDEX(Outcomes!E:E,MATCH(Master_Data!A62,Engagement!A:A,0))</f>
        <v>NA</v>
      </c>
      <c r="P62">
        <f>INDEX(Outcomes!F:F,MATCH(Master_Data!A62,Engagement!A:A,0))</f>
        <v>0</v>
      </c>
      <c r="Q62">
        <f>INDEX(Outcomes!G:G,MATCH(Master_Data!A62,Engagement!A:A,0))</f>
        <v>0</v>
      </c>
      <c r="R62">
        <f t="shared" si="0"/>
        <v>8</v>
      </c>
      <c r="S62" t="str">
        <f t="shared" si="1"/>
        <v>Further Study</v>
      </c>
      <c r="T62" t="str">
        <f t="shared" si="2"/>
        <v>No Salary</v>
      </c>
    </row>
    <row r="63" spans="1:20" x14ac:dyDescent="0.35">
      <c r="A63" t="s">
        <v>146</v>
      </c>
      <c r="B63" t="str">
        <f>INDEX(Students!B:B,MATCH(Master_Data!A63,Students!A:A,0))</f>
        <v>Riley Brown</v>
      </c>
      <c r="C63" t="str">
        <f>INDEX(Students!C:C,MATCH(Master_Data!A63,Students!A:A,0))</f>
        <v>Computer Science</v>
      </c>
      <c r="D63" t="str">
        <f>INDEX(Students!D:D,MATCH(Master_Data!A63,Students!A:A,0))</f>
        <v>Graduate</v>
      </c>
      <c r="E63">
        <f>INDEX(Students!E:E,MATCH(Master_Data!A63,Students!A:A,0))</f>
        <v>2026</v>
      </c>
      <c r="F63">
        <f>INDEX(Students!F:F,MATCH(Master_Data!A63,Students!A:A,0))</f>
        <v>2.91</v>
      </c>
      <c r="G63" t="str">
        <f>INDEX(Students!G:G,MATCH(Master_Data!A63,Students!A:A,0))</f>
        <v>No</v>
      </c>
      <c r="H63">
        <f>INDEX(Engagement!B:B,MATCH(Master_Data!A63,Engagement!A:A,0))</f>
        <v>4</v>
      </c>
      <c r="I63">
        <f>INDEX(Engagement!C:C,MATCH(Master_Data!A63,Engagement!A:A,0))</f>
        <v>1</v>
      </c>
      <c r="J63">
        <f>INDEX(Engagement!D:D,MATCH(Master_Data!A63,Engagement!A:A,0))</f>
        <v>1</v>
      </c>
      <c r="K63">
        <f>INDEX(Engagement!E:E,MATCH(Master_Data!A63,Engagement!A:A,0))</f>
        <v>2</v>
      </c>
      <c r="L63" t="str">
        <f>INDEX(Outcomes!B:B,MATCH(Master_Data!A63,Engagement!A:A,0))</f>
        <v>Yes</v>
      </c>
      <c r="M63" t="str">
        <f>INDEX(Outcomes!C:C,MATCH(Master_Data!A63,Engagement!A:A,0))</f>
        <v>Employed</v>
      </c>
      <c r="N63" t="str">
        <f>INDEX(Outcomes!D:D,MATCH(Master_Data!A63,Engagement!A:A,0))</f>
        <v>Full-Time</v>
      </c>
      <c r="O63" t="str">
        <f>INDEX(Outcomes!E:E,MATCH(Master_Data!A63,Engagement!A:A,0))</f>
        <v>Finance</v>
      </c>
      <c r="P63">
        <f>INDEX(Outcomes!F:F,MATCH(Master_Data!A63,Engagement!A:A,0))</f>
        <v>71051</v>
      </c>
      <c r="Q63">
        <f>INDEX(Outcomes!G:G,MATCH(Master_Data!A63,Engagement!A:A,0))</f>
        <v>3</v>
      </c>
      <c r="R63">
        <f t="shared" si="0"/>
        <v>8</v>
      </c>
      <c r="S63" t="str">
        <f t="shared" si="1"/>
        <v>Positive Outcome</v>
      </c>
      <c r="T63" t="str">
        <f t="shared" si="2"/>
        <v>Between 50K and 75K</v>
      </c>
    </row>
    <row r="64" spans="1:20" x14ac:dyDescent="0.35">
      <c r="A64" t="s">
        <v>148</v>
      </c>
      <c r="B64" t="str">
        <f>INDEX(Students!B:B,MATCH(Master_Data!A64,Students!A:A,0))</f>
        <v>Cameron Anderson</v>
      </c>
      <c r="C64" t="str">
        <f>INDEX(Students!C:C,MATCH(Master_Data!A64,Students!A:A,0))</f>
        <v>Computer Science</v>
      </c>
      <c r="D64" t="str">
        <f>INDEX(Students!D:D,MATCH(Master_Data!A64,Students!A:A,0))</f>
        <v>Undergraduate</v>
      </c>
      <c r="E64">
        <f>INDEX(Students!E:E,MATCH(Master_Data!A64,Students!A:A,0))</f>
        <v>2026</v>
      </c>
      <c r="F64">
        <f>INDEX(Students!F:F,MATCH(Master_Data!A64,Students!A:A,0))</f>
        <v>3.09</v>
      </c>
      <c r="G64" t="str">
        <f>INDEX(Students!G:G,MATCH(Master_Data!A64,Students!A:A,0))</f>
        <v>No</v>
      </c>
      <c r="H64">
        <f>INDEX(Engagement!B:B,MATCH(Master_Data!A64,Engagement!A:A,0))</f>
        <v>5</v>
      </c>
      <c r="I64">
        <f>INDEX(Engagement!C:C,MATCH(Master_Data!A64,Engagement!A:A,0))</f>
        <v>2</v>
      </c>
      <c r="J64">
        <f>INDEX(Engagement!D:D,MATCH(Master_Data!A64,Engagement!A:A,0))</f>
        <v>2</v>
      </c>
      <c r="K64">
        <f>INDEX(Engagement!E:E,MATCH(Master_Data!A64,Engagement!A:A,0))</f>
        <v>0</v>
      </c>
      <c r="L64" t="str">
        <f>INDEX(Outcomes!B:B,MATCH(Master_Data!A64,Engagement!A:A,0))</f>
        <v>Yes</v>
      </c>
      <c r="M64" t="str">
        <f>INDEX(Outcomes!C:C,MATCH(Master_Data!A64,Engagement!A:A,0))</f>
        <v>Employed</v>
      </c>
      <c r="N64" t="str">
        <f>INDEX(Outcomes!D:D,MATCH(Master_Data!A64,Engagement!A:A,0))</f>
        <v>Full-Time</v>
      </c>
      <c r="O64" t="str">
        <f>INDEX(Outcomes!E:E,MATCH(Master_Data!A64,Engagement!A:A,0))</f>
        <v>Finance</v>
      </c>
      <c r="P64">
        <f>INDEX(Outcomes!F:F,MATCH(Master_Data!A64,Engagement!A:A,0))</f>
        <v>66867</v>
      </c>
      <c r="Q64">
        <f>INDEX(Outcomes!G:G,MATCH(Master_Data!A64,Engagement!A:A,0))</f>
        <v>4</v>
      </c>
      <c r="R64">
        <f t="shared" si="0"/>
        <v>9</v>
      </c>
      <c r="S64" t="str">
        <f t="shared" si="1"/>
        <v>Positive Outcome</v>
      </c>
      <c r="T64" t="str">
        <f t="shared" si="2"/>
        <v>Between 50K and 75K</v>
      </c>
    </row>
    <row r="65" spans="1:20" x14ac:dyDescent="0.35">
      <c r="A65" t="s">
        <v>150</v>
      </c>
      <c r="B65" t="str">
        <f>INDEX(Students!B:B,MATCH(Master_Data!A65,Students!A:A,0))</f>
        <v>Taylor White</v>
      </c>
      <c r="C65" t="str">
        <f>INDEX(Students!C:C,MATCH(Master_Data!A65,Students!A:A,0))</f>
        <v>Computer Science</v>
      </c>
      <c r="D65" t="str">
        <f>INDEX(Students!D:D,MATCH(Master_Data!A65,Students!A:A,0))</f>
        <v>Graduate</v>
      </c>
      <c r="E65">
        <f>INDEX(Students!E:E,MATCH(Master_Data!A65,Students!A:A,0))</f>
        <v>2026</v>
      </c>
      <c r="F65">
        <f>INDEX(Students!F:F,MATCH(Master_Data!A65,Students!A:A,0))</f>
        <v>3.64</v>
      </c>
      <c r="G65" t="str">
        <f>INDEX(Students!G:G,MATCH(Master_Data!A65,Students!A:A,0))</f>
        <v>No</v>
      </c>
      <c r="H65">
        <f>INDEX(Engagement!B:B,MATCH(Master_Data!A65,Engagement!A:A,0))</f>
        <v>6</v>
      </c>
      <c r="I65">
        <f>INDEX(Engagement!C:C,MATCH(Master_Data!A65,Engagement!A:A,0))</f>
        <v>1</v>
      </c>
      <c r="J65">
        <f>INDEX(Engagement!D:D,MATCH(Master_Data!A65,Engagement!A:A,0))</f>
        <v>1</v>
      </c>
      <c r="K65">
        <f>INDEX(Engagement!E:E,MATCH(Master_Data!A65,Engagement!A:A,0))</f>
        <v>2</v>
      </c>
      <c r="L65" t="str">
        <f>INDEX(Outcomes!B:B,MATCH(Master_Data!A65,Engagement!A:A,0))</f>
        <v>Yes</v>
      </c>
      <c r="M65" t="str">
        <f>INDEX(Outcomes!C:C,MATCH(Master_Data!A65,Engagement!A:A,0))</f>
        <v>Employed</v>
      </c>
      <c r="N65" t="str">
        <f>INDEX(Outcomes!D:D,MATCH(Master_Data!A65,Engagement!A:A,0))</f>
        <v>Internship</v>
      </c>
      <c r="O65" t="str">
        <f>INDEX(Outcomes!E:E,MATCH(Master_Data!A65,Engagement!A:A,0))</f>
        <v>Technology</v>
      </c>
      <c r="P65">
        <f>INDEX(Outcomes!F:F,MATCH(Master_Data!A65,Engagement!A:A,0))</f>
        <v>33221</v>
      </c>
      <c r="Q65">
        <f>INDEX(Outcomes!G:G,MATCH(Master_Data!A65,Engagement!A:A,0))</f>
        <v>5</v>
      </c>
      <c r="R65">
        <f t="shared" si="0"/>
        <v>10</v>
      </c>
      <c r="S65" t="str">
        <f t="shared" si="1"/>
        <v>Positive Outcome</v>
      </c>
      <c r="T65" t="str">
        <f t="shared" si="2"/>
        <v>Below 50K</v>
      </c>
    </row>
    <row r="66" spans="1:20" x14ac:dyDescent="0.35">
      <c r="A66" t="s">
        <v>152</v>
      </c>
      <c r="B66" t="str">
        <f>INDEX(Students!B:B,MATCH(Master_Data!A66,Students!A:A,0))</f>
        <v>Cameron Patel</v>
      </c>
      <c r="C66" t="str">
        <f>INDEX(Students!C:C,MATCH(Master_Data!A66,Students!A:A,0))</f>
        <v>Data Science</v>
      </c>
      <c r="D66" t="str">
        <f>INDEX(Students!D:D,MATCH(Master_Data!A66,Students!A:A,0))</f>
        <v>Undergraduate</v>
      </c>
      <c r="E66">
        <f>INDEX(Students!E:E,MATCH(Master_Data!A66,Students!A:A,0))</f>
        <v>2027</v>
      </c>
      <c r="F66">
        <f>INDEX(Students!F:F,MATCH(Master_Data!A66,Students!A:A,0))</f>
        <v>3.72</v>
      </c>
      <c r="G66" t="str">
        <f>INDEX(Students!G:G,MATCH(Master_Data!A66,Students!A:A,0))</f>
        <v>Yes</v>
      </c>
      <c r="H66">
        <f>INDEX(Engagement!B:B,MATCH(Master_Data!A66,Engagement!A:A,0))</f>
        <v>5</v>
      </c>
      <c r="I66">
        <f>INDEX(Engagement!C:C,MATCH(Master_Data!A66,Engagement!A:A,0))</f>
        <v>0</v>
      </c>
      <c r="J66">
        <f>INDEX(Engagement!D:D,MATCH(Master_Data!A66,Engagement!A:A,0))</f>
        <v>2</v>
      </c>
      <c r="K66">
        <f>INDEX(Engagement!E:E,MATCH(Master_Data!A66,Engagement!A:A,0))</f>
        <v>0</v>
      </c>
      <c r="L66" t="str">
        <f>INDEX(Outcomes!B:B,MATCH(Master_Data!A66,Engagement!A:A,0))</f>
        <v>Yes</v>
      </c>
      <c r="M66" t="str">
        <f>INDEX(Outcomes!C:C,MATCH(Master_Data!A66,Engagement!A:A,0))</f>
        <v>Seeking</v>
      </c>
      <c r="N66" t="str">
        <f>INDEX(Outcomes!D:D,MATCH(Master_Data!A66,Engagement!A:A,0))</f>
        <v>NA</v>
      </c>
      <c r="O66" t="str">
        <f>INDEX(Outcomes!E:E,MATCH(Master_Data!A66,Engagement!A:A,0))</f>
        <v>NA</v>
      </c>
      <c r="P66">
        <f>INDEX(Outcomes!F:F,MATCH(Master_Data!A66,Engagement!A:A,0))</f>
        <v>0</v>
      </c>
      <c r="Q66">
        <f>INDEX(Outcomes!G:G,MATCH(Master_Data!A66,Engagement!A:A,0))</f>
        <v>0</v>
      </c>
      <c r="R66">
        <f t="shared" si="0"/>
        <v>7</v>
      </c>
      <c r="S66" t="str">
        <f t="shared" si="1"/>
        <v>Seeking</v>
      </c>
      <c r="T66" t="str">
        <f t="shared" si="2"/>
        <v>No Salary</v>
      </c>
    </row>
    <row r="67" spans="1:20" x14ac:dyDescent="0.35">
      <c r="A67" t="s">
        <v>154</v>
      </c>
      <c r="B67" t="str">
        <f>INDEX(Students!B:B,MATCH(Master_Data!A67,Students!A:A,0))</f>
        <v>Quinn Davis</v>
      </c>
      <c r="C67" t="str">
        <f>INDEX(Students!C:C,MATCH(Master_Data!A67,Students!A:A,0))</f>
        <v>Business Analytics</v>
      </c>
      <c r="D67" t="str">
        <f>INDEX(Students!D:D,MATCH(Master_Data!A67,Students!A:A,0))</f>
        <v>Graduate</v>
      </c>
      <c r="E67">
        <f>INDEX(Students!E:E,MATCH(Master_Data!A67,Students!A:A,0))</f>
        <v>2026</v>
      </c>
      <c r="F67">
        <f>INDEX(Students!F:F,MATCH(Master_Data!A67,Students!A:A,0))</f>
        <v>2.86</v>
      </c>
      <c r="G67" t="str">
        <f>INDEX(Students!G:G,MATCH(Master_Data!A67,Students!A:A,0))</f>
        <v>Yes</v>
      </c>
      <c r="H67">
        <f>INDEX(Engagement!B:B,MATCH(Master_Data!A67,Engagement!A:A,0))</f>
        <v>3</v>
      </c>
      <c r="I67">
        <f>INDEX(Engagement!C:C,MATCH(Master_Data!A67,Engagement!A:A,0))</f>
        <v>1</v>
      </c>
      <c r="J67">
        <f>INDEX(Engagement!D:D,MATCH(Master_Data!A67,Engagement!A:A,0))</f>
        <v>1</v>
      </c>
      <c r="K67">
        <f>INDEX(Engagement!E:E,MATCH(Master_Data!A67,Engagement!A:A,0))</f>
        <v>1</v>
      </c>
      <c r="L67" t="str">
        <f>INDEX(Outcomes!B:B,MATCH(Master_Data!A67,Engagement!A:A,0))</f>
        <v>Yes</v>
      </c>
      <c r="M67" t="str">
        <f>INDEX(Outcomes!C:C,MATCH(Master_Data!A67,Engagement!A:A,0))</f>
        <v>Employed</v>
      </c>
      <c r="N67" t="str">
        <f>INDEX(Outcomes!D:D,MATCH(Master_Data!A67,Engagement!A:A,0))</f>
        <v>Internship</v>
      </c>
      <c r="O67" t="str">
        <f>INDEX(Outcomes!E:E,MATCH(Master_Data!A67,Engagement!A:A,0))</f>
        <v>Retail</v>
      </c>
      <c r="P67">
        <f>INDEX(Outcomes!F:F,MATCH(Master_Data!A67,Engagement!A:A,0))</f>
        <v>36991</v>
      </c>
      <c r="Q67">
        <f>INDEX(Outcomes!G:G,MATCH(Master_Data!A67,Engagement!A:A,0))</f>
        <v>6</v>
      </c>
      <c r="R67">
        <f t="shared" ref="R67:R121" si="3">H67+I67+J67+K67</f>
        <v>6</v>
      </c>
      <c r="S67" t="str">
        <f t="shared" ref="S67:S121" si="4">IF(M67="Employed","Positive Outcome",
   IF(M67="Continuing Education","Further Study",
   "Seeking"))</f>
        <v>Positive Outcome</v>
      </c>
      <c r="T67" t="str">
        <f t="shared" ref="T67:T121" si="5">IF(P67=0,"No Salary",
   IF(P67&lt;50000,"Below 50K",
   IF(P67&lt;=75000,"Between 50K and 75K",
   "Above 75K")))</f>
        <v>Below 50K</v>
      </c>
    </row>
    <row r="68" spans="1:20" x14ac:dyDescent="0.35">
      <c r="A68" t="s">
        <v>156</v>
      </c>
      <c r="B68" t="str">
        <f>INDEX(Students!B:B,MATCH(Master_Data!A68,Students!A:A,0))</f>
        <v>Morgan White</v>
      </c>
      <c r="C68" t="str">
        <f>INDEX(Students!C:C,MATCH(Master_Data!A68,Students!A:A,0))</f>
        <v>Business Analytics</v>
      </c>
      <c r="D68" t="str">
        <f>INDEX(Students!D:D,MATCH(Master_Data!A68,Students!A:A,0))</f>
        <v>Graduate</v>
      </c>
      <c r="E68">
        <f>INDEX(Students!E:E,MATCH(Master_Data!A68,Students!A:A,0))</f>
        <v>2026</v>
      </c>
      <c r="F68">
        <f>INDEX(Students!F:F,MATCH(Master_Data!A68,Students!A:A,0))</f>
        <v>3.47</v>
      </c>
      <c r="G68" t="str">
        <f>INDEX(Students!G:G,MATCH(Master_Data!A68,Students!A:A,0))</f>
        <v>Yes</v>
      </c>
      <c r="H68">
        <f>INDEX(Engagement!B:B,MATCH(Master_Data!A68,Engagement!A:A,0))</f>
        <v>2</v>
      </c>
      <c r="I68">
        <f>INDEX(Engagement!C:C,MATCH(Master_Data!A68,Engagement!A:A,0))</f>
        <v>1</v>
      </c>
      <c r="J68">
        <f>INDEX(Engagement!D:D,MATCH(Master_Data!A68,Engagement!A:A,0))</f>
        <v>2</v>
      </c>
      <c r="K68">
        <f>INDEX(Engagement!E:E,MATCH(Master_Data!A68,Engagement!A:A,0))</f>
        <v>1</v>
      </c>
      <c r="L68" t="str">
        <f>INDEX(Outcomes!B:B,MATCH(Master_Data!A68,Engagement!A:A,0))</f>
        <v>Yes</v>
      </c>
      <c r="M68" t="str">
        <f>INDEX(Outcomes!C:C,MATCH(Master_Data!A68,Engagement!A:A,0))</f>
        <v>Employed</v>
      </c>
      <c r="N68" t="str">
        <f>INDEX(Outcomes!D:D,MATCH(Master_Data!A68,Engagement!A:A,0))</f>
        <v>Full-Time</v>
      </c>
      <c r="O68" t="str">
        <f>INDEX(Outcomes!E:E,MATCH(Master_Data!A68,Engagement!A:A,0))</f>
        <v>Technology</v>
      </c>
      <c r="P68">
        <f>INDEX(Outcomes!F:F,MATCH(Master_Data!A68,Engagement!A:A,0))</f>
        <v>80079</v>
      </c>
      <c r="Q68">
        <f>INDEX(Outcomes!G:G,MATCH(Master_Data!A68,Engagement!A:A,0))</f>
        <v>3</v>
      </c>
      <c r="R68">
        <f t="shared" si="3"/>
        <v>6</v>
      </c>
      <c r="S68" t="str">
        <f t="shared" si="4"/>
        <v>Positive Outcome</v>
      </c>
      <c r="T68" t="str">
        <f t="shared" si="5"/>
        <v>Above 75K</v>
      </c>
    </row>
    <row r="69" spans="1:20" x14ac:dyDescent="0.35">
      <c r="A69" t="s">
        <v>158</v>
      </c>
      <c r="B69" t="str">
        <f>INDEX(Students!B:B,MATCH(Master_Data!A69,Students!A:A,0))</f>
        <v>Hayden Hall</v>
      </c>
      <c r="C69" t="str">
        <f>INDEX(Students!C:C,MATCH(Master_Data!A69,Students!A:A,0))</f>
        <v>Finance</v>
      </c>
      <c r="D69" t="str">
        <f>INDEX(Students!D:D,MATCH(Master_Data!A69,Students!A:A,0))</f>
        <v>Graduate</v>
      </c>
      <c r="E69">
        <f>INDEX(Students!E:E,MATCH(Master_Data!A69,Students!A:A,0))</f>
        <v>2026</v>
      </c>
      <c r="F69">
        <f>INDEX(Students!F:F,MATCH(Master_Data!A69,Students!A:A,0))</f>
        <v>3.89</v>
      </c>
      <c r="G69" t="str">
        <f>INDEX(Students!G:G,MATCH(Master_Data!A69,Students!A:A,0))</f>
        <v>No</v>
      </c>
      <c r="H69">
        <f>INDEX(Engagement!B:B,MATCH(Master_Data!A69,Engagement!A:A,0))</f>
        <v>6</v>
      </c>
      <c r="I69">
        <f>INDEX(Engagement!C:C,MATCH(Master_Data!A69,Engagement!A:A,0))</f>
        <v>3</v>
      </c>
      <c r="J69">
        <f>INDEX(Engagement!D:D,MATCH(Master_Data!A69,Engagement!A:A,0))</f>
        <v>2</v>
      </c>
      <c r="K69">
        <f>INDEX(Engagement!E:E,MATCH(Master_Data!A69,Engagement!A:A,0))</f>
        <v>2</v>
      </c>
      <c r="L69" t="str">
        <f>INDEX(Outcomes!B:B,MATCH(Master_Data!A69,Engagement!A:A,0))</f>
        <v>Yes</v>
      </c>
      <c r="M69" t="str">
        <f>INDEX(Outcomes!C:C,MATCH(Master_Data!A69,Engagement!A:A,0))</f>
        <v>Employed</v>
      </c>
      <c r="N69" t="str">
        <f>INDEX(Outcomes!D:D,MATCH(Master_Data!A69,Engagement!A:A,0))</f>
        <v>Internship</v>
      </c>
      <c r="O69" t="str">
        <f>INDEX(Outcomes!E:E,MATCH(Master_Data!A69,Engagement!A:A,0))</f>
        <v>Finance</v>
      </c>
      <c r="P69">
        <f>INDEX(Outcomes!F:F,MATCH(Master_Data!A69,Engagement!A:A,0))</f>
        <v>29402</v>
      </c>
      <c r="Q69">
        <f>INDEX(Outcomes!G:G,MATCH(Master_Data!A69,Engagement!A:A,0))</f>
        <v>3</v>
      </c>
      <c r="R69">
        <f t="shared" si="3"/>
        <v>13</v>
      </c>
      <c r="S69" t="str">
        <f t="shared" si="4"/>
        <v>Positive Outcome</v>
      </c>
      <c r="T69" t="str">
        <f t="shared" si="5"/>
        <v>Below 50K</v>
      </c>
    </row>
    <row r="70" spans="1:20" x14ac:dyDescent="0.35">
      <c r="A70" t="s">
        <v>160</v>
      </c>
      <c r="B70" t="str">
        <f>INDEX(Students!B:B,MATCH(Master_Data!A70,Students!A:A,0))</f>
        <v>Riley Harris</v>
      </c>
      <c r="C70" t="str">
        <f>INDEX(Students!C:C,MATCH(Master_Data!A70,Students!A:A,0))</f>
        <v>Economics</v>
      </c>
      <c r="D70" t="str">
        <f>INDEX(Students!D:D,MATCH(Master_Data!A70,Students!A:A,0))</f>
        <v>Graduate</v>
      </c>
      <c r="E70">
        <f>INDEX(Students!E:E,MATCH(Master_Data!A70,Students!A:A,0))</f>
        <v>2027</v>
      </c>
      <c r="F70">
        <f>INDEX(Students!F:F,MATCH(Master_Data!A70,Students!A:A,0))</f>
        <v>3.13</v>
      </c>
      <c r="G70" t="str">
        <f>INDEX(Students!G:G,MATCH(Master_Data!A70,Students!A:A,0))</f>
        <v>No</v>
      </c>
      <c r="H70">
        <f>INDEX(Engagement!B:B,MATCH(Master_Data!A70,Engagement!A:A,0))</f>
        <v>1</v>
      </c>
      <c r="I70">
        <f>INDEX(Engagement!C:C,MATCH(Master_Data!A70,Engagement!A:A,0))</f>
        <v>3</v>
      </c>
      <c r="J70">
        <f>INDEX(Engagement!D:D,MATCH(Master_Data!A70,Engagement!A:A,0))</f>
        <v>0</v>
      </c>
      <c r="K70">
        <f>INDEX(Engagement!E:E,MATCH(Master_Data!A70,Engagement!A:A,0))</f>
        <v>2</v>
      </c>
      <c r="L70" t="str">
        <f>INDEX(Outcomes!B:B,MATCH(Master_Data!A70,Engagement!A:A,0))</f>
        <v>Yes</v>
      </c>
      <c r="M70" t="str">
        <f>INDEX(Outcomes!C:C,MATCH(Master_Data!A70,Engagement!A:A,0))</f>
        <v>Employed</v>
      </c>
      <c r="N70" t="str">
        <f>INDEX(Outcomes!D:D,MATCH(Master_Data!A70,Engagement!A:A,0))</f>
        <v>Full-Time</v>
      </c>
      <c r="O70" t="str">
        <f>INDEX(Outcomes!E:E,MATCH(Master_Data!A70,Engagement!A:A,0))</f>
        <v>Consulting</v>
      </c>
      <c r="P70">
        <f>INDEX(Outcomes!F:F,MATCH(Master_Data!A70,Engagement!A:A,0))</f>
        <v>71626</v>
      </c>
      <c r="Q70">
        <f>INDEX(Outcomes!G:G,MATCH(Master_Data!A70,Engagement!A:A,0))</f>
        <v>2</v>
      </c>
      <c r="R70">
        <f t="shared" si="3"/>
        <v>6</v>
      </c>
      <c r="S70" t="str">
        <f t="shared" si="4"/>
        <v>Positive Outcome</v>
      </c>
      <c r="T70" t="str">
        <f t="shared" si="5"/>
        <v>Between 50K and 75K</v>
      </c>
    </row>
    <row r="71" spans="1:20" x14ac:dyDescent="0.35">
      <c r="A71" t="s">
        <v>162</v>
      </c>
      <c r="B71" t="str">
        <f>INDEX(Students!B:B,MATCH(Master_Data!A71,Students!A:A,0))</f>
        <v>Emerson Davis</v>
      </c>
      <c r="C71" t="str">
        <f>INDEX(Students!C:C,MATCH(Master_Data!A71,Students!A:A,0))</f>
        <v>Computer Science</v>
      </c>
      <c r="D71" t="str">
        <f>INDEX(Students!D:D,MATCH(Master_Data!A71,Students!A:A,0))</f>
        <v>Undergraduate</v>
      </c>
      <c r="E71">
        <f>INDEX(Students!E:E,MATCH(Master_Data!A71,Students!A:A,0))</f>
        <v>2026</v>
      </c>
      <c r="F71">
        <f>INDEX(Students!F:F,MATCH(Master_Data!A71,Students!A:A,0))</f>
        <v>3.13</v>
      </c>
      <c r="G71" t="str">
        <f>INDEX(Students!G:G,MATCH(Master_Data!A71,Students!A:A,0))</f>
        <v>Yes</v>
      </c>
      <c r="H71">
        <f>INDEX(Engagement!B:B,MATCH(Master_Data!A71,Engagement!A:A,0))</f>
        <v>5</v>
      </c>
      <c r="I71">
        <f>INDEX(Engagement!C:C,MATCH(Master_Data!A71,Engagement!A:A,0))</f>
        <v>1</v>
      </c>
      <c r="J71">
        <f>INDEX(Engagement!D:D,MATCH(Master_Data!A71,Engagement!A:A,0))</f>
        <v>1</v>
      </c>
      <c r="K71">
        <f>INDEX(Engagement!E:E,MATCH(Master_Data!A71,Engagement!A:A,0))</f>
        <v>2</v>
      </c>
      <c r="L71" t="str">
        <f>INDEX(Outcomes!B:B,MATCH(Master_Data!A71,Engagement!A:A,0))</f>
        <v>Yes</v>
      </c>
      <c r="M71" t="str">
        <f>INDEX(Outcomes!C:C,MATCH(Master_Data!A71,Engagement!A:A,0))</f>
        <v>Continuing Education</v>
      </c>
      <c r="N71" t="str">
        <f>INDEX(Outcomes!D:D,MATCH(Master_Data!A71,Engagement!A:A,0))</f>
        <v>NA</v>
      </c>
      <c r="O71" t="str">
        <f>INDEX(Outcomes!E:E,MATCH(Master_Data!A71,Engagement!A:A,0))</f>
        <v>NA</v>
      </c>
      <c r="P71">
        <f>INDEX(Outcomes!F:F,MATCH(Master_Data!A71,Engagement!A:A,0))</f>
        <v>0</v>
      </c>
      <c r="Q71">
        <f>INDEX(Outcomes!G:G,MATCH(Master_Data!A71,Engagement!A:A,0))</f>
        <v>0</v>
      </c>
      <c r="R71">
        <f t="shared" si="3"/>
        <v>9</v>
      </c>
      <c r="S71" t="str">
        <f t="shared" si="4"/>
        <v>Further Study</v>
      </c>
      <c r="T71" t="str">
        <f t="shared" si="5"/>
        <v>No Salary</v>
      </c>
    </row>
    <row r="72" spans="1:20" x14ac:dyDescent="0.35">
      <c r="A72" t="s">
        <v>164</v>
      </c>
      <c r="B72" t="str">
        <f>INDEX(Students!B:B,MATCH(Master_Data!A72,Students!A:A,0))</f>
        <v>Rowan Brown</v>
      </c>
      <c r="C72" t="str">
        <f>INDEX(Students!C:C,MATCH(Master_Data!A72,Students!A:A,0))</f>
        <v>Business Analytics</v>
      </c>
      <c r="D72" t="str">
        <f>INDEX(Students!D:D,MATCH(Master_Data!A72,Students!A:A,0))</f>
        <v>Undergraduate</v>
      </c>
      <c r="E72">
        <f>INDEX(Students!E:E,MATCH(Master_Data!A72,Students!A:A,0))</f>
        <v>2027</v>
      </c>
      <c r="F72">
        <f>INDEX(Students!F:F,MATCH(Master_Data!A72,Students!A:A,0))</f>
        <v>3.65</v>
      </c>
      <c r="G72" t="str">
        <f>INDEX(Students!G:G,MATCH(Master_Data!A72,Students!A:A,0))</f>
        <v>Yes</v>
      </c>
      <c r="H72">
        <f>INDEX(Engagement!B:B,MATCH(Master_Data!A72,Engagement!A:A,0))</f>
        <v>3</v>
      </c>
      <c r="I72">
        <f>INDEX(Engagement!C:C,MATCH(Master_Data!A72,Engagement!A:A,0))</f>
        <v>1</v>
      </c>
      <c r="J72">
        <f>INDEX(Engagement!D:D,MATCH(Master_Data!A72,Engagement!A:A,0))</f>
        <v>3</v>
      </c>
      <c r="K72">
        <f>INDEX(Engagement!E:E,MATCH(Master_Data!A72,Engagement!A:A,0))</f>
        <v>1</v>
      </c>
      <c r="L72" t="str">
        <f>INDEX(Outcomes!B:B,MATCH(Master_Data!A72,Engagement!A:A,0))</f>
        <v>No</v>
      </c>
      <c r="M72" t="str">
        <f>INDEX(Outcomes!C:C,MATCH(Master_Data!A72,Engagement!A:A,0))</f>
        <v>Employed</v>
      </c>
      <c r="N72" t="str">
        <f>INDEX(Outcomes!D:D,MATCH(Master_Data!A72,Engagement!A:A,0))</f>
        <v>Full-Time</v>
      </c>
      <c r="O72" t="str">
        <f>INDEX(Outcomes!E:E,MATCH(Master_Data!A72,Engagement!A:A,0))</f>
        <v>Finance</v>
      </c>
      <c r="P72">
        <f>INDEX(Outcomes!F:F,MATCH(Master_Data!A72,Engagement!A:A,0))</f>
        <v>74989</v>
      </c>
      <c r="Q72">
        <f>INDEX(Outcomes!G:G,MATCH(Master_Data!A72,Engagement!A:A,0))</f>
        <v>3</v>
      </c>
      <c r="R72">
        <f t="shared" si="3"/>
        <v>8</v>
      </c>
      <c r="S72" t="str">
        <f t="shared" si="4"/>
        <v>Positive Outcome</v>
      </c>
      <c r="T72" t="str">
        <f t="shared" si="5"/>
        <v>Between 50K and 75K</v>
      </c>
    </row>
    <row r="73" spans="1:20" x14ac:dyDescent="0.35">
      <c r="A73" t="s">
        <v>165</v>
      </c>
      <c r="B73" t="str">
        <f>INDEX(Students!B:B,MATCH(Master_Data!A73,Students!A:A,0))</f>
        <v>Quinn Thomas</v>
      </c>
      <c r="C73" t="str">
        <f>INDEX(Students!C:C,MATCH(Master_Data!A73,Students!A:A,0))</f>
        <v>Data Science</v>
      </c>
      <c r="D73" t="str">
        <f>INDEX(Students!D:D,MATCH(Master_Data!A73,Students!A:A,0))</f>
        <v>Undergraduate</v>
      </c>
      <c r="E73">
        <f>INDEX(Students!E:E,MATCH(Master_Data!A73,Students!A:A,0))</f>
        <v>2026</v>
      </c>
      <c r="F73">
        <f>INDEX(Students!F:F,MATCH(Master_Data!A73,Students!A:A,0))</f>
        <v>3.3</v>
      </c>
      <c r="G73" t="str">
        <f>INDEX(Students!G:G,MATCH(Master_Data!A73,Students!A:A,0))</f>
        <v>No</v>
      </c>
      <c r="H73">
        <f>INDEX(Engagement!B:B,MATCH(Master_Data!A73,Engagement!A:A,0))</f>
        <v>3</v>
      </c>
      <c r="I73">
        <f>INDEX(Engagement!C:C,MATCH(Master_Data!A73,Engagement!A:A,0))</f>
        <v>0</v>
      </c>
      <c r="J73">
        <f>INDEX(Engagement!D:D,MATCH(Master_Data!A73,Engagement!A:A,0))</f>
        <v>2</v>
      </c>
      <c r="K73">
        <f>INDEX(Engagement!E:E,MATCH(Master_Data!A73,Engagement!A:A,0))</f>
        <v>0</v>
      </c>
      <c r="L73" t="str">
        <f>INDEX(Outcomes!B:B,MATCH(Master_Data!A73,Engagement!A:A,0))</f>
        <v>Yes</v>
      </c>
      <c r="M73" t="str">
        <f>INDEX(Outcomes!C:C,MATCH(Master_Data!A73,Engagement!A:A,0))</f>
        <v>Employed</v>
      </c>
      <c r="N73" t="str">
        <f>INDEX(Outcomes!D:D,MATCH(Master_Data!A73,Engagement!A:A,0))</f>
        <v>Internship</v>
      </c>
      <c r="O73" t="str">
        <f>INDEX(Outcomes!E:E,MATCH(Master_Data!A73,Engagement!A:A,0))</f>
        <v>Technology</v>
      </c>
      <c r="P73">
        <f>INDEX(Outcomes!F:F,MATCH(Master_Data!A73,Engagement!A:A,0))</f>
        <v>33080</v>
      </c>
      <c r="Q73">
        <f>INDEX(Outcomes!G:G,MATCH(Master_Data!A73,Engagement!A:A,0))</f>
        <v>2</v>
      </c>
      <c r="R73">
        <f t="shared" si="3"/>
        <v>5</v>
      </c>
      <c r="S73" t="str">
        <f t="shared" si="4"/>
        <v>Positive Outcome</v>
      </c>
      <c r="T73" t="str">
        <f t="shared" si="5"/>
        <v>Below 50K</v>
      </c>
    </row>
    <row r="74" spans="1:20" x14ac:dyDescent="0.35">
      <c r="A74" t="s">
        <v>167</v>
      </c>
      <c r="B74" t="str">
        <f>INDEX(Students!B:B,MATCH(Master_Data!A74,Students!A:A,0))</f>
        <v>Elliot Smith</v>
      </c>
      <c r="C74" t="str">
        <f>INDEX(Students!C:C,MATCH(Master_Data!A74,Students!A:A,0))</f>
        <v>Finance</v>
      </c>
      <c r="D74" t="str">
        <f>INDEX(Students!D:D,MATCH(Master_Data!A74,Students!A:A,0))</f>
        <v>Graduate</v>
      </c>
      <c r="E74">
        <f>INDEX(Students!E:E,MATCH(Master_Data!A74,Students!A:A,0))</f>
        <v>2026</v>
      </c>
      <c r="F74">
        <f>INDEX(Students!F:F,MATCH(Master_Data!A74,Students!A:A,0))</f>
        <v>2.81</v>
      </c>
      <c r="G74" t="str">
        <f>INDEX(Students!G:G,MATCH(Master_Data!A74,Students!A:A,0))</f>
        <v>No</v>
      </c>
      <c r="H74">
        <f>INDEX(Engagement!B:B,MATCH(Master_Data!A74,Engagement!A:A,0))</f>
        <v>5</v>
      </c>
      <c r="I74">
        <f>INDEX(Engagement!C:C,MATCH(Master_Data!A74,Engagement!A:A,0))</f>
        <v>2</v>
      </c>
      <c r="J74">
        <f>INDEX(Engagement!D:D,MATCH(Master_Data!A74,Engagement!A:A,0))</f>
        <v>2</v>
      </c>
      <c r="K74">
        <f>INDEX(Engagement!E:E,MATCH(Master_Data!A74,Engagement!A:A,0))</f>
        <v>3</v>
      </c>
      <c r="L74" t="str">
        <f>INDEX(Outcomes!B:B,MATCH(Master_Data!A74,Engagement!A:A,0))</f>
        <v>Yes</v>
      </c>
      <c r="M74" t="str">
        <f>INDEX(Outcomes!C:C,MATCH(Master_Data!A74,Engagement!A:A,0))</f>
        <v>Employed</v>
      </c>
      <c r="N74" t="str">
        <f>INDEX(Outcomes!D:D,MATCH(Master_Data!A74,Engagement!A:A,0))</f>
        <v>Part-Time</v>
      </c>
      <c r="O74" t="str">
        <f>INDEX(Outcomes!E:E,MATCH(Master_Data!A74,Engagement!A:A,0))</f>
        <v>Finance</v>
      </c>
      <c r="P74">
        <f>INDEX(Outcomes!F:F,MATCH(Master_Data!A74,Engagement!A:A,0))</f>
        <v>34039</v>
      </c>
      <c r="Q74">
        <f>INDEX(Outcomes!G:G,MATCH(Master_Data!A74,Engagement!A:A,0))</f>
        <v>4</v>
      </c>
      <c r="R74">
        <f t="shared" si="3"/>
        <v>12</v>
      </c>
      <c r="S74" t="str">
        <f t="shared" si="4"/>
        <v>Positive Outcome</v>
      </c>
      <c r="T74" t="str">
        <f t="shared" si="5"/>
        <v>Below 50K</v>
      </c>
    </row>
    <row r="75" spans="1:20" x14ac:dyDescent="0.35">
      <c r="A75" t="s">
        <v>169</v>
      </c>
      <c r="B75" t="str">
        <f>INDEX(Students!B:B,MATCH(Master_Data!A75,Students!A:A,0))</f>
        <v>Reese Jackson</v>
      </c>
      <c r="C75" t="str">
        <f>INDEX(Students!C:C,MATCH(Master_Data!A75,Students!A:A,0))</f>
        <v>Economics</v>
      </c>
      <c r="D75" t="str">
        <f>INDEX(Students!D:D,MATCH(Master_Data!A75,Students!A:A,0))</f>
        <v>Graduate</v>
      </c>
      <c r="E75">
        <f>INDEX(Students!E:E,MATCH(Master_Data!A75,Students!A:A,0))</f>
        <v>2027</v>
      </c>
      <c r="F75">
        <f>INDEX(Students!F:F,MATCH(Master_Data!A75,Students!A:A,0))</f>
        <v>3.88</v>
      </c>
      <c r="G75" t="str">
        <f>INDEX(Students!G:G,MATCH(Master_Data!A75,Students!A:A,0))</f>
        <v>No</v>
      </c>
      <c r="H75">
        <f>INDEX(Engagement!B:B,MATCH(Master_Data!A75,Engagement!A:A,0))</f>
        <v>3</v>
      </c>
      <c r="I75">
        <f>INDEX(Engagement!C:C,MATCH(Master_Data!A75,Engagement!A:A,0))</f>
        <v>3</v>
      </c>
      <c r="J75">
        <f>INDEX(Engagement!D:D,MATCH(Master_Data!A75,Engagement!A:A,0))</f>
        <v>0</v>
      </c>
      <c r="K75">
        <f>INDEX(Engagement!E:E,MATCH(Master_Data!A75,Engagement!A:A,0))</f>
        <v>3</v>
      </c>
      <c r="L75" t="str">
        <f>INDEX(Outcomes!B:B,MATCH(Master_Data!A75,Engagement!A:A,0))</f>
        <v>Yes</v>
      </c>
      <c r="M75" t="str">
        <f>INDEX(Outcomes!C:C,MATCH(Master_Data!A75,Engagement!A:A,0))</f>
        <v>Employed</v>
      </c>
      <c r="N75" t="str">
        <f>INDEX(Outcomes!D:D,MATCH(Master_Data!A75,Engagement!A:A,0))</f>
        <v>Full-Time</v>
      </c>
      <c r="O75" t="str">
        <f>INDEX(Outcomes!E:E,MATCH(Master_Data!A75,Engagement!A:A,0))</f>
        <v>Retail</v>
      </c>
      <c r="P75">
        <f>INDEX(Outcomes!F:F,MATCH(Master_Data!A75,Engagement!A:A,0))</f>
        <v>61128</v>
      </c>
      <c r="Q75">
        <f>INDEX(Outcomes!G:G,MATCH(Master_Data!A75,Engagement!A:A,0))</f>
        <v>4</v>
      </c>
      <c r="R75">
        <f t="shared" si="3"/>
        <v>9</v>
      </c>
      <c r="S75" t="str">
        <f t="shared" si="4"/>
        <v>Positive Outcome</v>
      </c>
      <c r="T75" t="str">
        <f t="shared" si="5"/>
        <v>Between 50K and 75K</v>
      </c>
    </row>
    <row r="76" spans="1:20" x14ac:dyDescent="0.35">
      <c r="A76" t="s">
        <v>171</v>
      </c>
      <c r="B76" t="str">
        <f>INDEX(Students!B:B,MATCH(Master_Data!A76,Students!A:A,0))</f>
        <v>Drew Jackson</v>
      </c>
      <c r="C76" t="str">
        <f>INDEX(Students!C:C,MATCH(Master_Data!A76,Students!A:A,0))</f>
        <v>Economics</v>
      </c>
      <c r="D76" t="str">
        <f>INDEX(Students!D:D,MATCH(Master_Data!A76,Students!A:A,0))</f>
        <v>Undergraduate</v>
      </c>
      <c r="E76">
        <f>INDEX(Students!E:E,MATCH(Master_Data!A76,Students!A:A,0))</f>
        <v>2027</v>
      </c>
      <c r="F76">
        <f>INDEX(Students!F:F,MATCH(Master_Data!A76,Students!A:A,0))</f>
        <v>3.76</v>
      </c>
      <c r="G76" t="str">
        <f>INDEX(Students!G:G,MATCH(Master_Data!A76,Students!A:A,0))</f>
        <v>No</v>
      </c>
      <c r="H76">
        <f>INDEX(Engagement!B:B,MATCH(Master_Data!A76,Engagement!A:A,0))</f>
        <v>3</v>
      </c>
      <c r="I76">
        <f>INDEX(Engagement!C:C,MATCH(Master_Data!A76,Engagement!A:A,0))</f>
        <v>1</v>
      </c>
      <c r="J76">
        <f>INDEX(Engagement!D:D,MATCH(Master_Data!A76,Engagement!A:A,0))</f>
        <v>0</v>
      </c>
      <c r="K76">
        <f>INDEX(Engagement!E:E,MATCH(Master_Data!A76,Engagement!A:A,0))</f>
        <v>0</v>
      </c>
      <c r="L76" t="str">
        <f>INDEX(Outcomes!B:B,MATCH(Master_Data!A76,Engagement!A:A,0))</f>
        <v>No</v>
      </c>
      <c r="M76" t="str">
        <f>INDEX(Outcomes!C:C,MATCH(Master_Data!A76,Engagement!A:A,0))</f>
        <v>Employed</v>
      </c>
      <c r="N76" t="str">
        <f>INDEX(Outcomes!D:D,MATCH(Master_Data!A76,Engagement!A:A,0))</f>
        <v>Full-Time</v>
      </c>
      <c r="O76" t="str">
        <f>INDEX(Outcomes!E:E,MATCH(Master_Data!A76,Engagement!A:A,0))</f>
        <v>Education</v>
      </c>
      <c r="P76">
        <f>INDEX(Outcomes!F:F,MATCH(Master_Data!A76,Engagement!A:A,0))</f>
        <v>55940</v>
      </c>
      <c r="Q76">
        <f>INDEX(Outcomes!G:G,MATCH(Master_Data!A76,Engagement!A:A,0))</f>
        <v>2</v>
      </c>
      <c r="R76">
        <f t="shared" si="3"/>
        <v>4</v>
      </c>
      <c r="S76" t="str">
        <f t="shared" si="4"/>
        <v>Positive Outcome</v>
      </c>
      <c r="T76" t="str">
        <f t="shared" si="5"/>
        <v>Between 50K and 75K</v>
      </c>
    </row>
    <row r="77" spans="1:20" x14ac:dyDescent="0.35">
      <c r="A77" t="s">
        <v>173</v>
      </c>
      <c r="B77" t="str">
        <f>INDEX(Students!B:B,MATCH(Master_Data!A77,Students!A:A,0))</f>
        <v>Hayden Patel</v>
      </c>
      <c r="C77" t="str">
        <f>INDEX(Students!C:C,MATCH(Master_Data!A77,Students!A:A,0))</f>
        <v>Marketing</v>
      </c>
      <c r="D77" t="str">
        <f>INDEX(Students!D:D,MATCH(Master_Data!A77,Students!A:A,0))</f>
        <v>Graduate</v>
      </c>
      <c r="E77">
        <f>INDEX(Students!E:E,MATCH(Master_Data!A77,Students!A:A,0))</f>
        <v>2027</v>
      </c>
      <c r="F77">
        <f>INDEX(Students!F:F,MATCH(Master_Data!A77,Students!A:A,0))</f>
        <v>3.51</v>
      </c>
      <c r="G77" t="str">
        <f>INDEX(Students!G:G,MATCH(Master_Data!A77,Students!A:A,0))</f>
        <v>No</v>
      </c>
      <c r="H77">
        <f>INDEX(Engagement!B:B,MATCH(Master_Data!A77,Engagement!A:A,0))</f>
        <v>4</v>
      </c>
      <c r="I77">
        <f>INDEX(Engagement!C:C,MATCH(Master_Data!A77,Engagement!A:A,0))</f>
        <v>2</v>
      </c>
      <c r="J77">
        <f>INDEX(Engagement!D:D,MATCH(Master_Data!A77,Engagement!A:A,0))</f>
        <v>0</v>
      </c>
      <c r="K77">
        <f>INDEX(Engagement!E:E,MATCH(Master_Data!A77,Engagement!A:A,0))</f>
        <v>2</v>
      </c>
      <c r="L77" t="str">
        <f>INDEX(Outcomes!B:B,MATCH(Master_Data!A77,Engagement!A:A,0))</f>
        <v>No</v>
      </c>
      <c r="M77" t="str">
        <f>INDEX(Outcomes!C:C,MATCH(Master_Data!A77,Engagement!A:A,0))</f>
        <v>Seeking</v>
      </c>
      <c r="N77" t="str">
        <f>INDEX(Outcomes!D:D,MATCH(Master_Data!A77,Engagement!A:A,0))</f>
        <v>NA</v>
      </c>
      <c r="O77" t="str">
        <f>INDEX(Outcomes!E:E,MATCH(Master_Data!A77,Engagement!A:A,0))</f>
        <v>NA</v>
      </c>
      <c r="P77">
        <f>INDEX(Outcomes!F:F,MATCH(Master_Data!A77,Engagement!A:A,0))</f>
        <v>0</v>
      </c>
      <c r="Q77">
        <f>INDEX(Outcomes!G:G,MATCH(Master_Data!A77,Engagement!A:A,0))</f>
        <v>0</v>
      </c>
      <c r="R77">
        <f t="shared" si="3"/>
        <v>8</v>
      </c>
      <c r="S77" t="str">
        <f t="shared" si="4"/>
        <v>Seeking</v>
      </c>
      <c r="T77" t="str">
        <f t="shared" si="5"/>
        <v>No Salary</v>
      </c>
    </row>
    <row r="78" spans="1:20" x14ac:dyDescent="0.35">
      <c r="A78" t="s">
        <v>174</v>
      </c>
      <c r="B78" t="str">
        <f>INDEX(Students!B:B,MATCH(Master_Data!A78,Students!A:A,0))</f>
        <v>Taylor Jackson</v>
      </c>
      <c r="C78" t="str">
        <f>INDEX(Students!C:C,MATCH(Master_Data!A78,Students!A:A,0))</f>
        <v>Business Analytics</v>
      </c>
      <c r="D78" t="str">
        <f>INDEX(Students!D:D,MATCH(Master_Data!A78,Students!A:A,0))</f>
        <v>Graduate</v>
      </c>
      <c r="E78">
        <f>INDEX(Students!E:E,MATCH(Master_Data!A78,Students!A:A,0))</f>
        <v>2026</v>
      </c>
      <c r="F78">
        <f>INDEX(Students!F:F,MATCH(Master_Data!A78,Students!A:A,0))</f>
        <v>3.25</v>
      </c>
      <c r="G78" t="str">
        <f>INDEX(Students!G:G,MATCH(Master_Data!A78,Students!A:A,0))</f>
        <v>Yes</v>
      </c>
      <c r="H78">
        <f>INDEX(Engagement!B:B,MATCH(Master_Data!A78,Engagement!A:A,0))</f>
        <v>2</v>
      </c>
      <c r="I78">
        <f>INDEX(Engagement!C:C,MATCH(Master_Data!A78,Engagement!A:A,0))</f>
        <v>1</v>
      </c>
      <c r="J78">
        <f>INDEX(Engagement!D:D,MATCH(Master_Data!A78,Engagement!A:A,0))</f>
        <v>1</v>
      </c>
      <c r="K78">
        <f>INDEX(Engagement!E:E,MATCH(Master_Data!A78,Engagement!A:A,0))</f>
        <v>1</v>
      </c>
      <c r="L78" t="str">
        <f>INDEX(Outcomes!B:B,MATCH(Master_Data!A78,Engagement!A:A,0))</f>
        <v>Yes</v>
      </c>
      <c r="M78" t="str">
        <f>INDEX(Outcomes!C:C,MATCH(Master_Data!A78,Engagement!A:A,0))</f>
        <v>Seeking</v>
      </c>
      <c r="N78" t="str">
        <f>INDEX(Outcomes!D:D,MATCH(Master_Data!A78,Engagement!A:A,0))</f>
        <v>NA</v>
      </c>
      <c r="O78" t="str">
        <f>INDEX(Outcomes!E:E,MATCH(Master_Data!A78,Engagement!A:A,0))</f>
        <v>NA</v>
      </c>
      <c r="P78">
        <f>INDEX(Outcomes!F:F,MATCH(Master_Data!A78,Engagement!A:A,0))</f>
        <v>0</v>
      </c>
      <c r="Q78">
        <f>INDEX(Outcomes!G:G,MATCH(Master_Data!A78,Engagement!A:A,0))</f>
        <v>0</v>
      </c>
      <c r="R78">
        <f t="shared" si="3"/>
        <v>5</v>
      </c>
      <c r="S78" t="str">
        <f t="shared" si="4"/>
        <v>Seeking</v>
      </c>
      <c r="T78" t="str">
        <f t="shared" si="5"/>
        <v>No Salary</v>
      </c>
    </row>
    <row r="79" spans="1:20" x14ac:dyDescent="0.35">
      <c r="A79" t="s">
        <v>176</v>
      </c>
      <c r="B79" t="str">
        <f>INDEX(Students!B:B,MATCH(Master_Data!A79,Students!A:A,0))</f>
        <v>Skyler Thomas</v>
      </c>
      <c r="C79" t="str">
        <f>INDEX(Students!C:C,MATCH(Master_Data!A79,Students!A:A,0))</f>
        <v>Finance</v>
      </c>
      <c r="D79" t="str">
        <f>INDEX(Students!D:D,MATCH(Master_Data!A79,Students!A:A,0))</f>
        <v>Undergraduate</v>
      </c>
      <c r="E79">
        <f>INDEX(Students!E:E,MATCH(Master_Data!A79,Students!A:A,0))</f>
        <v>2027</v>
      </c>
      <c r="F79">
        <f>INDEX(Students!F:F,MATCH(Master_Data!A79,Students!A:A,0))</f>
        <v>3.8</v>
      </c>
      <c r="G79" t="str">
        <f>INDEX(Students!G:G,MATCH(Master_Data!A79,Students!A:A,0))</f>
        <v>Yes</v>
      </c>
      <c r="H79">
        <f>INDEX(Engagement!B:B,MATCH(Master_Data!A79,Engagement!A:A,0))</f>
        <v>2</v>
      </c>
      <c r="I79">
        <f>INDEX(Engagement!C:C,MATCH(Master_Data!A79,Engagement!A:A,0))</f>
        <v>2</v>
      </c>
      <c r="J79">
        <f>INDEX(Engagement!D:D,MATCH(Master_Data!A79,Engagement!A:A,0))</f>
        <v>2</v>
      </c>
      <c r="K79">
        <f>INDEX(Engagement!E:E,MATCH(Master_Data!A79,Engagement!A:A,0))</f>
        <v>0</v>
      </c>
      <c r="L79" t="str">
        <f>INDEX(Outcomes!B:B,MATCH(Master_Data!A79,Engagement!A:A,0))</f>
        <v>Yes</v>
      </c>
      <c r="M79" t="str">
        <f>INDEX(Outcomes!C:C,MATCH(Master_Data!A79,Engagement!A:A,0))</f>
        <v>Seeking</v>
      </c>
      <c r="N79" t="str">
        <f>INDEX(Outcomes!D:D,MATCH(Master_Data!A79,Engagement!A:A,0))</f>
        <v>NA</v>
      </c>
      <c r="O79" t="str">
        <f>INDEX(Outcomes!E:E,MATCH(Master_Data!A79,Engagement!A:A,0))</f>
        <v>NA</v>
      </c>
      <c r="P79">
        <f>INDEX(Outcomes!F:F,MATCH(Master_Data!A79,Engagement!A:A,0))</f>
        <v>0</v>
      </c>
      <c r="Q79">
        <f>INDEX(Outcomes!G:G,MATCH(Master_Data!A79,Engagement!A:A,0))</f>
        <v>0</v>
      </c>
      <c r="R79">
        <f t="shared" si="3"/>
        <v>6</v>
      </c>
      <c r="S79" t="str">
        <f t="shared" si="4"/>
        <v>Seeking</v>
      </c>
      <c r="T79" t="str">
        <f t="shared" si="5"/>
        <v>No Salary</v>
      </c>
    </row>
    <row r="80" spans="1:20" x14ac:dyDescent="0.35">
      <c r="A80" t="s">
        <v>178</v>
      </c>
      <c r="B80" t="str">
        <f>INDEX(Students!B:B,MATCH(Master_Data!A80,Students!A:A,0))</f>
        <v>Taylor Harris</v>
      </c>
      <c r="C80" t="str">
        <f>INDEX(Students!C:C,MATCH(Master_Data!A80,Students!A:A,0))</f>
        <v>Business Analytics</v>
      </c>
      <c r="D80" t="str">
        <f>INDEX(Students!D:D,MATCH(Master_Data!A80,Students!A:A,0))</f>
        <v>Graduate</v>
      </c>
      <c r="E80">
        <f>INDEX(Students!E:E,MATCH(Master_Data!A80,Students!A:A,0))</f>
        <v>2027</v>
      </c>
      <c r="F80">
        <f>INDEX(Students!F:F,MATCH(Master_Data!A80,Students!A:A,0))</f>
        <v>3.22</v>
      </c>
      <c r="G80" t="str">
        <f>INDEX(Students!G:G,MATCH(Master_Data!A80,Students!A:A,0))</f>
        <v>No</v>
      </c>
      <c r="H80">
        <f>INDEX(Engagement!B:B,MATCH(Master_Data!A80,Engagement!A:A,0))</f>
        <v>3</v>
      </c>
      <c r="I80">
        <f>INDEX(Engagement!C:C,MATCH(Master_Data!A80,Engagement!A:A,0))</f>
        <v>1</v>
      </c>
      <c r="J80">
        <f>INDEX(Engagement!D:D,MATCH(Master_Data!A80,Engagement!A:A,0))</f>
        <v>2</v>
      </c>
      <c r="K80">
        <f>INDEX(Engagement!E:E,MATCH(Master_Data!A80,Engagement!A:A,0))</f>
        <v>2</v>
      </c>
      <c r="L80" t="str">
        <f>INDEX(Outcomes!B:B,MATCH(Master_Data!A80,Engagement!A:A,0))</f>
        <v>Yes</v>
      </c>
      <c r="M80" t="str">
        <f>INDEX(Outcomes!C:C,MATCH(Master_Data!A80,Engagement!A:A,0))</f>
        <v>Employed</v>
      </c>
      <c r="N80" t="str">
        <f>INDEX(Outcomes!D:D,MATCH(Master_Data!A80,Engagement!A:A,0))</f>
        <v>Full-Time</v>
      </c>
      <c r="O80" t="str">
        <f>INDEX(Outcomes!E:E,MATCH(Master_Data!A80,Engagement!A:A,0))</f>
        <v>Technology</v>
      </c>
      <c r="P80">
        <f>INDEX(Outcomes!F:F,MATCH(Master_Data!A80,Engagement!A:A,0))</f>
        <v>77511</v>
      </c>
      <c r="Q80">
        <f>INDEX(Outcomes!G:G,MATCH(Master_Data!A80,Engagement!A:A,0))</f>
        <v>6</v>
      </c>
      <c r="R80">
        <f t="shared" si="3"/>
        <v>8</v>
      </c>
      <c r="S80" t="str">
        <f t="shared" si="4"/>
        <v>Positive Outcome</v>
      </c>
      <c r="T80" t="str">
        <f t="shared" si="5"/>
        <v>Above 75K</v>
      </c>
    </row>
    <row r="81" spans="1:20" x14ac:dyDescent="0.35">
      <c r="A81" t="s">
        <v>180</v>
      </c>
      <c r="B81" t="str">
        <f>INDEX(Students!B:B,MATCH(Master_Data!A81,Students!A:A,0))</f>
        <v>Jordan Smith</v>
      </c>
      <c r="C81" t="str">
        <f>INDEX(Students!C:C,MATCH(Master_Data!A81,Students!A:A,0))</f>
        <v>Marketing</v>
      </c>
      <c r="D81" t="str">
        <f>INDEX(Students!D:D,MATCH(Master_Data!A81,Students!A:A,0))</f>
        <v>Undergraduate</v>
      </c>
      <c r="E81">
        <f>INDEX(Students!E:E,MATCH(Master_Data!A81,Students!A:A,0))</f>
        <v>2026</v>
      </c>
      <c r="F81">
        <f>INDEX(Students!F:F,MATCH(Master_Data!A81,Students!A:A,0))</f>
        <v>2.98</v>
      </c>
      <c r="G81" t="str">
        <f>INDEX(Students!G:G,MATCH(Master_Data!A81,Students!A:A,0))</f>
        <v>Yes</v>
      </c>
      <c r="H81">
        <f>INDEX(Engagement!B:B,MATCH(Master_Data!A81,Engagement!A:A,0))</f>
        <v>1</v>
      </c>
      <c r="I81">
        <f>INDEX(Engagement!C:C,MATCH(Master_Data!A81,Engagement!A:A,0))</f>
        <v>2</v>
      </c>
      <c r="J81">
        <f>INDEX(Engagement!D:D,MATCH(Master_Data!A81,Engagement!A:A,0))</f>
        <v>0</v>
      </c>
      <c r="K81">
        <f>INDEX(Engagement!E:E,MATCH(Master_Data!A81,Engagement!A:A,0))</f>
        <v>0</v>
      </c>
      <c r="L81" t="str">
        <f>INDEX(Outcomes!B:B,MATCH(Master_Data!A81,Engagement!A:A,0))</f>
        <v>Yes</v>
      </c>
      <c r="M81" t="str">
        <f>INDEX(Outcomes!C:C,MATCH(Master_Data!A81,Engagement!A:A,0))</f>
        <v>Seeking</v>
      </c>
      <c r="N81" t="str">
        <f>INDEX(Outcomes!D:D,MATCH(Master_Data!A81,Engagement!A:A,0))</f>
        <v>NA</v>
      </c>
      <c r="O81" t="str">
        <f>INDEX(Outcomes!E:E,MATCH(Master_Data!A81,Engagement!A:A,0))</f>
        <v>NA</v>
      </c>
      <c r="P81">
        <f>INDEX(Outcomes!F:F,MATCH(Master_Data!A81,Engagement!A:A,0))</f>
        <v>0</v>
      </c>
      <c r="Q81">
        <f>INDEX(Outcomes!G:G,MATCH(Master_Data!A81,Engagement!A:A,0))</f>
        <v>0</v>
      </c>
      <c r="R81">
        <f t="shared" si="3"/>
        <v>3</v>
      </c>
      <c r="S81" t="str">
        <f t="shared" si="4"/>
        <v>Seeking</v>
      </c>
      <c r="T81" t="str">
        <f t="shared" si="5"/>
        <v>No Salary</v>
      </c>
    </row>
    <row r="82" spans="1:20" x14ac:dyDescent="0.35">
      <c r="A82" t="s">
        <v>182</v>
      </c>
      <c r="B82" t="str">
        <f>INDEX(Students!B:B,MATCH(Master_Data!A82,Students!A:A,0))</f>
        <v>Morgan Walker</v>
      </c>
      <c r="C82" t="str">
        <f>INDEX(Students!C:C,MATCH(Master_Data!A82,Students!A:A,0))</f>
        <v>Marketing</v>
      </c>
      <c r="D82" t="str">
        <f>INDEX(Students!D:D,MATCH(Master_Data!A82,Students!A:A,0))</f>
        <v>Graduate</v>
      </c>
      <c r="E82">
        <f>INDEX(Students!E:E,MATCH(Master_Data!A82,Students!A:A,0))</f>
        <v>2026</v>
      </c>
      <c r="F82">
        <f>INDEX(Students!F:F,MATCH(Master_Data!A82,Students!A:A,0))</f>
        <v>3.24</v>
      </c>
      <c r="G82" t="str">
        <f>INDEX(Students!G:G,MATCH(Master_Data!A82,Students!A:A,0))</f>
        <v>No</v>
      </c>
      <c r="H82">
        <f>INDEX(Engagement!B:B,MATCH(Master_Data!A82,Engagement!A:A,0))</f>
        <v>4</v>
      </c>
      <c r="I82">
        <f>INDEX(Engagement!C:C,MATCH(Master_Data!A82,Engagement!A:A,0))</f>
        <v>2</v>
      </c>
      <c r="J82">
        <f>INDEX(Engagement!D:D,MATCH(Master_Data!A82,Engagement!A:A,0))</f>
        <v>1</v>
      </c>
      <c r="K82">
        <f>INDEX(Engagement!E:E,MATCH(Master_Data!A82,Engagement!A:A,0))</f>
        <v>1</v>
      </c>
      <c r="L82" t="str">
        <f>INDEX(Outcomes!B:B,MATCH(Master_Data!A82,Engagement!A:A,0))</f>
        <v>Yes</v>
      </c>
      <c r="M82" t="str">
        <f>INDEX(Outcomes!C:C,MATCH(Master_Data!A82,Engagement!A:A,0))</f>
        <v>Employed</v>
      </c>
      <c r="N82" t="str">
        <f>INDEX(Outcomes!D:D,MATCH(Master_Data!A82,Engagement!A:A,0))</f>
        <v>Internship</v>
      </c>
      <c r="O82" t="str">
        <f>INDEX(Outcomes!E:E,MATCH(Master_Data!A82,Engagement!A:A,0))</f>
        <v>Consulting</v>
      </c>
      <c r="P82">
        <f>INDEX(Outcomes!F:F,MATCH(Master_Data!A82,Engagement!A:A,0))</f>
        <v>35311</v>
      </c>
      <c r="Q82">
        <f>INDEX(Outcomes!G:G,MATCH(Master_Data!A82,Engagement!A:A,0))</f>
        <v>1</v>
      </c>
      <c r="R82">
        <f t="shared" si="3"/>
        <v>8</v>
      </c>
      <c r="S82" t="str">
        <f t="shared" si="4"/>
        <v>Positive Outcome</v>
      </c>
      <c r="T82" t="str">
        <f t="shared" si="5"/>
        <v>Below 50K</v>
      </c>
    </row>
    <row r="83" spans="1:20" x14ac:dyDescent="0.35">
      <c r="A83" t="s">
        <v>184</v>
      </c>
      <c r="B83" t="str">
        <f>INDEX(Students!B:B,MATCH(Master_Data!A83,Students!A:A,0))</f>
        <v>Morgan Garcia</v>
      </c>
      <c r="C83" t="str">
        <f>INDEX(Students!C:C,MATCH(Master_Data!A83,Students!A:A,0))</f>
        <v>Marketing</v>
      </c>
      <c r="D83" t="str">
        <f>INDEX(Students!D:D,MATCH(Master_Data!A83,Students!A:A,0))</f>
        <v>Undergraduate</v>
      </c>
      <c r="E83">
        <f>INDEX(Students!E:E,MATCH(Master_Data!A83,Students!A:A,0))</f>
        <v>2026</v>
      </c>
      <c r="F83">
        <f>INDEX(Students!F:F,MATCH(Master_Data!A83,Students!A:A,0))</f>
        <v>3.17</v>
      </c>
      <c r="G83" t="str">
        <f>INDEX(Students!G:G,MATCH(Master_Data!A83,Students!A:A,0))</f>
        <v>No</v>
      </c>
      <c r="H83">
        <f>INDEX(Engagement!B:B,MATCH(Master_Data!A83,Engagement!A:A,0))</f>
        <v>1</v>
      </c>
      <c r="I83">
        <f>INDEX(Engagement!C:C,MATCH(Master_Data!A83,Engagement!A:A,0))</f>
        <v>0</v>
      </c>
      <c r="J83">
        <f>INDEX(Engagement!D:D,MATCH(Master_Data!A83,Engagement!A:A,0))</f>
        <v>1</v>
      </c>
      <c r="K83">
        <f>INDEX(Engagement!E:E,MATCH(Master_Data!A83,Engagement!A:A,0))</f>
        <v>1</v>
      </c>
      <c r="L83" t="str">
        <f>INDEX(Outcomes!B:B,MATCH(Master_Data!A83,Engagement!A:A,0))</f>
        <v>Yes</v>
      </c>
      <c r="M83" t="str">
        <f>INDEX(Outcomes!C:C,MATCH(Master_Data!A83,Engagement!A:A,0))</f>
        <v>Employed</v>
      </c>
      <c r="N83" t="str">
        <f>INDEX(Outcomes!D:D,MATCH(Master_Data!A83,Engagement!A:A,0))</f>
        <v>Internship</v>
      </c>
      <c r="O83" t="str">
        <f>INDEX(Outcomes!E:E,MATCH(Master_Data!A83,Engagement!A:A,0))</f>
        <v>Marketing</v>
      </c>
      <c r="P83">
        <f>INDEX(Outcomes!F:F,MATCH(Master_Data!A83,Engagement!A:A,0))</f>
        <v>29438</v>
      </c>
      <c r="Q83">
        <f>INDEX(Outcomes!G:G,MATCH(Master_Data!A83,Engagement!A:A,0))</f>
        <v>4</v>
      </c>
      <c r="R83">
        <f t="shared" si="3"/>
        <v>3</v>
      </c>
      <c r="S83" t="str">
        <f t="shared" si="4"/>
        <v>Positive Outcome</v>
      </c>
      <c r="T83" t="str">
        <f t="shared" si="5"/>
        <v>Below 50K</v>
      </c>
    </row>
    <row r="84" spans="1:20" x14ac:dyDescent="0.35">
      <c r="A84" t="s">
        <v>186</v>
      </c>
      <c r="B84" t="str">
        <f>INDEX(Students!B:B,MATCH(Master_Data!A84,Students!A:A,0))</f>
        <v>Reese Martin</v>
      </c>
      <c r="C84" t="str">
        <f>INDEX(Students!C:C,MATCH(Master_Data!A84,Students!A:A,0))</f>
        <v>Marketing</v>
      </c>
      <c r="D84" t="str">
        <f>INDEX(Students!D:D,MATCH(Master_Data!A84,Students!A:A,0))</f>
        <v>Undergraduate</v>
      </c>
      <c r="E84">
        <f>INDEX(Students!E:E,MATCH(Master_Data!A84,Students!A:A,0))</f>
        <v>2026</v>
      </c>
      <c r="F84">
        <f>INDEX(Students!F:F,MATCH(Master_Data!A84,Students!A:A,0))</f>
        <v>3.8</v>
      </c>
      <c r="G84" t="str">
        <f>INDEX(Students!G:G,MATCH(Master_Data!A84,Students!A:A,0))</f>
        <v>Yes</v>
      </c>
      <c r="H84">
        <f>INDEX(Engagement!B:B,MATCH(Master_Data!A84,Engagement!A:A,0))</f>
        <v>6</v>
      </c>
      <c r="I84">
        <f>INDEX(Engagement!C:C,MATCH(Master_Data!A84,Engagement!A:A,0))</f>
        <v>1</v>
      </c>
      <c r="J84">
        <f>INDEX(Engagement!D:D,MATCH(Master_Data!A84,Engagement!A:A,0))</f>
        <v>0</v>
      </c>
      <c r="K84">
        <f>INDEX(Engagement!E:E,MATCH(Master_Data!A84,Engagement!A:A,0))</f>
        <v>0</v>
      </c>
      <c r="L84" t="str">
        <f>INDEX(Outcomes!B:B,MATCH(Master_Data!A84,Engagement!A:A,0))</f>
        <v>Yes</v>
      </c>
      <c r="M84" t="str">
        <f>INDEX(Outcomes!C:C,MATCH(Master_Data!A84,Engagement!A:A,0))</f>
        <v>Employed</v>
      </c>
      <c r="N84" t="str">
        <f>INDEX(Outcomes!D:D,MATCH(Master_Data!A84,Engagement!A:A,0))</f>
        <v>Full-Time</v>
      </c>
      <c r="O84" t="str">
        <f>INDEX(Outcomes!E:E,MATCH(Master_Data!A84,Engagement!A:A,0))</f>
        <v>Marketing</v>
      </c>
      <c r="P84">
        <f>INDEX(Outcomes!F:F,MATCH(Master_Data!A84,Engagement!A:A,0))</f>
        <v>58051</v>
      </c>
      <c r="Q84">
        <f>INDEX(Outcomes!G:G,MATCH(Master_Data!A84,Engagement!A:A,0))</f>
        <v>4</v>
      </c>
      <c r="R84">
        <f t="shared" si="3"/>
        <v>7</v>
      </c>
      <c r="S84" t="str">
        <f t="shared" si="4"/>
        <v>Positive Outcome</v>
      </c>
      <c r="T84" t="str">
        <f t="shared" si="5"/>
        <v>Between 50K and 75K</v>
      </c>
    </row>
    <row r="85" spans="1:20" x14ac:dyDescent="0.35">
      <c r="A85" t="s">
        <v>188</v>
      </c>
      <c r="B85" t="str">
        <f>INDEX(Students!B:B,MATCH(Master_Data!A85,Students!A:A,0))</f>
        <v>Logan Hall</v>
      </c>
      <c r="C85" t="str">
        <f>INDEX(Students!C:C,MATCH(Master_Data!A85,Students!A:A,0))</f>
        <v>Finance</v>
      </c>
      <c r="D85" t="str">
        <f>INDEX(Students!D:D,MATCH(Master_Data!A85,Students!A:A,0))</f>
        <v>Graduate</v>
      </c>
      <c r="E85">
        <f>INDEX(Students!E:E,MATCH(Master_Data!A85,Students!A:A,0))</f>
        <v>2026</v>
      </c>
      <c r="F85">
        <f>INDEX(Students!F:F,MATCH(Master_Data!A85,Students!A:A,0))</f>
        <v>2.85</v>
      </c>
      <c r="G85" t="str">
        <f>INDEX(Students!G:G,MATCH(Master_Data!A85,Students!A:A,0))</f>
        <v>No</v>
      </c>
      <c r="H85">
        <f>INDEX(Engagement!B:B,MATCH(Master_Data!A85,Engagement!A:A,0))</f>
        <v>3</v>
      </c>
      <c r="I85">
        <f>INDEX(Engagement!C:C,MATCH(Master_Data!A85,Engagement!A:A,0))</f>
        <v>2</v>
      </c>
      <c r="J85">
        <f>INDEX(Engagement!D:D,MATCH(Master_Data!A85,Engagement!A:A,0))</f>
        <v>2</v>
      </c>
      <c r="K85">
        <f>INDEX(Engagement!E:E,MATCH(Master_Data!A85,Engagement!A:A,0))</f>
        <v>2</v>
      </c>
      <c r="L85" t="str">
        <f>INDEX(Outcomes!B:B,MATCH(Master_Data!A85,Engagement!A:A,0))</f>
        <v>No</v>
      </c>
      <c r="M85" t="str">
        <f>INDEX(Outcomes!C:C,MATCH(Master_Data!A85,Engagement!A:A,0))</f>
        <v>Employed</v>
      </c>
      <c r="N85" t="str">
        <f>INDEX(Outcomes!D:D,MATCH(Master_Data!A85,Engagement!A:A,0))</f>
        <v>Full-Time</v>
      </c>
      <c r="O85" t="str">
        <f>INDEX(Outcomes!E:E,MATCH(Master_Data!A85,Engagement!A:A,0))</f>
        <v>Finance</v>
      </c>
      <c r="P85">
        <f>INDEX(Outcomes!F:F,MATCH(Master_Data!A85,Engagement!A:A,0))</f>
        <v>73588</v>
      </c>
      <c r="Q85">
        <f>INDEX(Outcomes!G:G,MATCH(Master_Data!A85,Engagement!A:A,0))</f>
        <v>1</v>
      </c>
      <c r="R85">
        <f t="shared" si="3"/>
        <v>9</v>
      </c>
      <c r="S85" t="str">
        <f t="shared" si="4"/>
        <v>Positive Outcome</v>
      </c>
      <c r="T85" t="str">
        <f t="shared" si="5"/>
        <v>Between 50K and 75K</v>
      </c>
    </row>
    <row r="86" spans="1:20" x14ac:dyDescent="0.35">
      <c r="A86" t="s">
        <v>190</v>
      </c>
      <c r="B86" t="str">
        <f>INDEX(Students!B:B,MATCH(Master_Data!A86,Students!A:A,0))</f>
        <v>Parker Brown</v>
      </c>
      <c r="C86" t="str">
        <f>INDEX(Students!C:C,MATCH(Master_Data!A86,Students!A:A,0))</f>
        <v>Economics</v>
      </c>
      <c r="D86" t="str">
        <f>INDEX(Students!D:D,MATCH(Master_Data!A86,Students!A:A,0))</f>
        <v>Undergraduate</v>
      </c>
      <c r="E86">
        <f>INDEX(Students!E:E,MATCH(Master_Data!A86,Students!A:A,0))</f>
        <v>2027</v>
      </c>
      <c r="F86">
        <f>INDEX(Students!F:F,MATCH(Master_Data!A86,Students!A:A,0))</f>
        <v>3.79</v>
      </c>
      <c r="G86" t="str">
        <f>INDEX(Students!G:G,MATCH(Master_Data!A86,Students!A:A,0))</f>
        <v>Yes</v>
      </c>
      <c r="H86">
        <f>INDEX(Engagement!B:B,MATCH(Master_Data!A86,Engagement!A:A,0))</f>
        <v>4</v>
      </c>
      <c r="I86">
        <f>INDEX(Engagement!C:C,MATCH(Master_Data!A86,Engagement!A:A,0))</f>
        <v>1</v>
      </c>
      <c r="J86">
        <f>INDEX(Engagement!D:D,MATCH(Master_Data!A86,Engagement!A:A,0))</f>
        <v>0</v>
      </c>
      <c r="K86">
        <f>INDEX(Engagement!E:E,MATCH(Master_Data!A86,Engagement!A:A,0))</f>
        <v>2</v>
      </c>
      <c r="L86" t="str">
        <f>INDEX(Outcomes!B:B,MATCH(Master_Data!A86,Engagement!A:A,0))</f>
        <v>Yes</v>
      </c>
      <c r="M86" t="str">
        <f>INDEX(Outcomes!C:C,MATCH(Master_Data!A86,Engagement!A:A,0))</f>
        <v>Employed</v>
      </c>
      <c r="N86" t="str">
        <f>INDEX(Outcomes!D:D,MATCH(Master_Data!A86,Engagement!A:A,0))</f>
        <v>Full-Time</v>
      </c>
      <c r="O86" t="str">
        <f>INDEX(Outcomes!E:E,MATCH(Master_Data!A86,Engagement!A:A,0))</f>
        <v>Finance</v>
      </c>
      <c r="P86">
        <f>INDEX(Outcomes!F:F,MATCH(Master_Data!A86,Engagement!A:A,0))</f>
        <v>73323</v>
      </c>
      <c r="Q86">
        <f>INDEX(Outcomes!G:G,MATCH(Master_Data!A86,Engagement!A:A,0))</f>
        <v>3</v>
      </c>
      <c r="R86">
        <f t="shared" si="3"/>
        <v>7</v>
      </c>
      <c r="S86" t="str">
        <f t="shared" si="4"/>
        <v>Positive Outcome</v>
      </c>
      <c r="T86" t="str">
        <f t="shared" si="5"/>
        <v>Between 50K and 75K</v>
      </c>
    </row>
    <row r="87" spans="1:20" x14ac:dyDescent="0.35">
      <c r="A87" t="s">
        <v>192</v>
      </c>
      <c r="B87" t="str">
        <f>INDEX(Students!B:B,MATCH(Master_Data!A87,Students!A:A,0))</f>
        <v>Parker White</v>
      </c>
      <c r="C87" t="str">
        <f>INDEX(Students!C:C,MATCH(Master_Data!A87,Students!A:A,0))</f>
        <v>Data Science</v>
      </c>
      <c r="D87" t="str">
        <f>INDEX(Students!D:D,MATCH(Master_Data!A87,Students!A:A,0))</f>
        <v>Undergraduate</v>
      </c>
      <c r="E87">
        <f>INDEX(Students!E:E,MATCH(Master_Data!A87,Students!A:A,0))</f>
        <v>2027</v>
      </c>
      <c r="F87">
        <f>INDEX(Students!F:F,MATCH(Master_Data!A87,Students!A:A,0))</f>
        <v>3.96</v>
      </c>
      <c r="G87" t="str">
        <f>INDEX(Students!G:G,MATCH(Master_Data!A87,Students!A:A,0))</f>
        <v>Yes</v>
      </c>
      <c r="H87">
        <f>INDEX(Engagement!B:B,MATCH(Master_Data!A87,Engagement!A:A,0))</f>
        <v>2</v>
      </c>
      <c r="I87">
        <f>INDEX(Engagement!C:C,MATCH(Master_Data!A87,Engagement!A:A,0))</f>
        <v>2</v>
      </c>
      <c r="J87">
        <f>INDEX(Engagement!D:D,MATCH(Master_Data!A87,Engagement!A:A,0))</f>
        <v>1</v>
      </c>
      <c r="K87">
        <f>INDEX(Engagement!E:E,MATCH(Master_Data!A87,Engagement!A:A,0))</f>
        <v>2</v>
      </c>
      <c r="L87" t="str">
        <f>INDEX(Outcomes!B:B,MATCH(Master_Data!A87,Engagement!A:A,0))</f>
        <v>No</v>
      </c>
      <c r="M87" t="str">
        <f>INDEX(Outcomes!C:C,MATCH(Master_Data!A87,Engagement!A:A,0))</f>
        <v>Employed</v>
      </c>
      <c r="N87" t="str">
        <f>INDEX(Outcomes!D:D,MATCH(Master_Data!A87,Engagement!A:A,0))</f>
        <v>Full-Time</v>
      </c>
      <c r="O87" t="str">
        <f>INDEX(Outcomes!E:E,MATCH(Master_Data!A87,Engagement!A:A,0))</f>
        <v>Marketing</v>
      </c>
      <c r="P87">
        <f>INDEX(Outcomes!F:F,MATCH(Master_Data!A87,Engagement!A:A,0))</f>
        <v>63407</v>
      </c>
      <c r="Q87">
        <f>INDEX(Outcomes!G:G,MATCH(Master_Data!A87,Engagement!A:A,0))</f>
        <v>2</v>
      </c>
      <c r="R87">
        <f t="shared" si="3"/>
        <v>7</v>
      </c>
      <c r="S87" t="str">
        <f t="shared" si="4"/>
        <v>Positive Outcome</v>
      </c>
      <c r="T87" t="str">
        <f t="shared" si="5"/>
        <v>Between 50K and 75K</v>
      </c>
    </row>
    <row r="88" spans="1:20" x14ac:dyDescent="0.35">
      <c r="A88" t="s">
        <v>193</v>
      </c>
      <c r="B88" t="str">
        <f>INDEX(Students!B:B,MATCH(Master_Data!A88,Students!A:A,0))</f>
        <v>Rowan Harris</v>
      </c>
      <c r="C88" t="str">
        <f>INDEX(Students!C:C,MATCH(Master_Data!A88,Students!A:A,0))</f>
        <v>Economics</v>
      </c>
      <c r="D88" t="str">
        <f>INDEX(Students!D:D,MATCH(Master_Data!A88,Students!A:A,0))</f>
        <v>Graduate</v>
      </c>
      <c r="E88">
        <f>INDEX(Students!E:E,MATCH(Master_Data!A88,Students!A:A,0))</f>
        <v>2026</v>
      </c>
      <c r="F88">
        <f>INDEX(Students!F:F,MATCH(Master_Data!A88,Students!A:A,0))</f>
        <v>3.19</v>
      </c>
      <c r="G88" t="str">
        <f>INDEX(Students!G:G,MATCH(Master_Data!A88,Students!A:A,0))</f>
        <v>Yes</v>
      </c>
      <c r="H88">
        <f>INDEX(Engagement!B:B,MATCH(Master_Data!A88,Engagement!A:A,0))</f>
        <v>5</v>
      </c>
      <c r="I88">
        <f>INDEX(Engagement!C:C,MATCH(Master_Data!A88,Engagement!A:A,0))</f>
        <v>0</v>
      </c>
      <c r="J88">
        <f>INDEX(Engagement!D:D,MATCH(Master_Data!A88,Engagement!A:A,0))</f>
        <v>0</v>
      </c>
      <c r="K88">
        <f>INDEX(Engagement!E:E,MATCH(Master_Data!A88,Engagement!A:A,0))</f>
        <v>2</v>
      </c>
      <c r="L88" t="str">
        <f>INDEX(Outcomes!B:B,MATCH(Master_Data!A88,Engagement!A:A,0))</f>
        <v>Yes</v>
      </c>
      <c r="M88" t="str">
        <f>INDEX(Outcomes!C:C,MATCH(Master_Data!A88,Engagement!A:A,0))</f>
        <v>Seeking</v>
      </c>
      <c r="N88" t="str">
        <f>INDEX(Outcomes!D:D,MATCH(Master_Data!A88,Engagement!A:A,0))</f>
        <v>NA</v>
      </c>
      <c r="O88" t="str">
        <f>INDEX(Outcomes!E:E,MATCH(Master_Data!A88,Engagement!A:A,0))</f>
        <v>NA</v>
      </c>
      <c r="P88">
        <f>INDEX(Outcomes!F:F,MATCH(Master_Data!A88,Engagement!A:A,0))</f>
        <v>0</v>
      </c>
      <c r="Q88">
        <f>INDEX(Outcomes!G:G,MATCH(Master_Data!A88,Engagement!A:A,0))</f>
        <v>0</v>
      </c>
      <c r="R88">
        <f t="shared" si="3"/>
        <v>7</v>
      </c>
      <c r="S88" t="str">
        <f t="shared" si="4"/>
        <v>Seeking</v>
      </c>
      <c r="T88" t="str">
        <f t="shared" si="5"/>
        <v>No Salary</v>
      </c>
    </row>
    <row r="89" spans="1:20" x14ac:dyDescent="0.35">
      <c r="A89" t="s">
        <v>194</v>
      </c>
      <c r="B89" t="str">
        <f>INDEX(Students!B:B,MATCH(Master_Data!A89,Students!A:A,0))</f>
        <v>Taylor Wilson</v>
      </c>
      <c r="C89" t="str">
        <f>INDEX(Students!C:C,MATCH(Master_Data!A89,Students!A:A,0))</f>
        <v>Marketing</v>
      </c>
      <c r="D89" t="str">
        <f>INDEX(Students!D:D,MATCH(Master_Data!A89,Students!A:A,0))</f>
        <v>Undergraduate</v>
      </c>
      <c r="E89">
        <f>INDEX(Students!E:E,MATCH(Master_Data!A89,Students!A:A,0))</f>
        <v>2026</v>
      </c>
      <c r="F89">
        <f>INDEX(Students!F:F,MATCH(Master_Data!A89,Students!A:A,0))</f>
        <v>3.53</v>
      </c>
      <c r="G89" t="str">
        <f>INDEX(Students!G:G,MATCH(Master_Data!A89,Students!A:A,0))</f>
        <v>No</v>
      </c>
      <c r="H89">
        <f>INDEX(Engagement!B:B,MATCH(Master_Data!A89,Engagement!A:A,0))</f>
        <v>4</v>
      </c>
      <c r="I89">
        <f>INDEX(Engagement!C:C,MATCH(Master_Data!A89,Engagement!A:A,0))</f>
        <v>4</v>
      </c>
      <c r="J89">
        <f>INDEX(Engagement!D:D,MATCH(Master_Data!A89,Engagement!A:A,0))</f>
        <v>0</v>
      </c>
      <c r="K89">
        <f>INDEX(Engagement!E:E,MATCH(Master_Data!A89,Engagement!A:A,0))</f>
        <v>1</v>
      </c>
      <c r="L89" t="str">
        <f>INDEX(Outcomes!B:B,MATCH(Master_Data!A89,Engagement!A:A,0))</f>
        <v>Yes</v>
      </c>
      <c r="M89" t="str">
        <f>INDEX(Outcomes!C:C,MATCH(Master_Data!A89,Engagement!A:A,0))</f>
        <v>Employed</v>
      </c>
      <c r="N89" t="str">
        <f>INDEX(Outcomes!D:D,MATCH(Master_Data!A89,Engagement!A:A,0))</f>
        <v>Full-Time</v>
      </c>
      <c r="O89" t="str">
        <f>INDEX(Outcomes!E:E,MATCH(Master_Data!A89,Engagement!A:A,0))</f>
        <v>Retail</v>
      </c>
      <c r="P89">
        <f>INDEX(Outcomes!F:F,MATCH(Master_Data!A89,Engagement!A:A,0))</f>
        <v>60049</v>
      </c>
      <c r="Q89">
        <f>INDEX(Outcomes!G:G,MATCH(Master_Data!A89,Engagement!A:A,0))</f>
        <v>1</v>
      </c>
      <c r="R89">
        <f t="shared" si="3"/>
        <v>9</v>
      </c>
      <c r="S89" t="str">
        <f t="shared" si="4"/>
        <v>Positive Outcome</v>
      </c>
      <c r="T89" t="str">
        <f t="shared" si="5"/>
        <v>Between 50K and 75K</v>
      </c>
    </row>
    <row r="90" spans="1:20" x14ac:dyDescent="0.35">
      <c r="A90" t="s">
        <v>196</v>
      </c>
      <c r="B90" t="str">
        <f>INDEX(Students!B:B,MATCH(Master_Data!A90,Students!A:A,0))</f>
        <v>Alex Harris</v>
      </c>
      <c r="C90" t="str">
        <f>INDEX(Students!C:C,MATCH(Master_Data!A90,Students!A:A,0))</f>
        <v>Finance</v>
      </c>
      <c r="D90" t="str">
        <f>INDEX(Students!D:D,MATCH(Master_Data!A90,Students!A:A,0))</f>
        <v>Undergraduate</v>
      </c>
      <c r="E90">
        <f>INDEX(Students!E:E,MATCH(Master_Data!A90,Students!A:A,0))</f>
        <v>2026</v>
      </c>
      <c r="F90">
        <f>INDEX(Students!F:F,MATCH(Master_Data!A90,Students!A:A,0))</f>
        <v>3.76</v>
      </c>
      <c r="G90" t="str">
        <f>INDEX(Students!G:G,MATCH(Master_Data!A90,Students!A:A,0))</f>
        <v>Yes</v>
      </c>
      <c r="H90">
        <f>INDEX(Engagement!B:B,MATCH(Master_Data!A90,Engagement!A:A,0))</f>
        <v>2</v>
      </c>
      <c r="I90">
        <f>INDEX(Engagement!C:C,MATCH(Master_Data!A90,Engagement!A:A,0))</f>
        <v>1</v>
      </c>
      <c r="J90">
        <f>INDEX(Engagement!D:D,MATCH(Master_Data!A90,Engagement!A:A,0))</f>
        <v>1</v>
      </c>
      <c r="K90">
        <f>INDEX(Engagement!E:E,MATCH(Master_Data!A90,Engagement!A:A,0))</f>
        <v>1</v>
      </c>
      <c r="L90" t="str">
        <f>INDEX(Outcomes!B:B,MATCH(Master_Data!A90,Engagement!A:A,0))</f>
        <v>No</v>
      </c>
      <c r="M90" t="str">
        <f>INDEX(Outcomes!C:C,MATCH(Master_Data!A90,Engagement!A:A,0))</f>
        <v>Seeking</v>
      </c>
      <c r="N90" t="str">
        <f>INDEX(Outcomes!D:D,MATCH(Master_Data!A90,Engagement!A:A,0))</f>
        <v>NA</v>
      </c>
      <c r="O90" t="str">
        <f>INDEX(Outcomes!E:E,MATCH(Master_Data!A90,Engagement!A:A,0))</f>
        <v>NA</v>
      </c>
      <c r="P90">
        <f>INDEX(Outcomes!F:F,MATCH(Master_Data!A90,Engagement!A:A,0))</f>
        <v>0</v>
      </c>
      <c r="Q90">
        <f>INDEX(Outcomes!G:G,MATCH(Master_Data!A90,Engagement!A:A,0))</f>
        <v>0</v>
      </c>
      <c r="R90">
        <f t="shared" si="3"/>
        <v>5</v>
      </c>
      <c r="S90" t="str">
        <f t="shared" si="4"/>
        <v>Seeking</v>
      </c>
      <c r="T90" t="str">
        <f t="shared" si="5"/>
        <v>No Salary</v>
      </c>
    </row>
    <row r="91" spans="1:20" x14ac:dyDescent="0.35">
      <c r="A91" t="s">
        <v>198</v>
      </c>
      <c r="B91" t="str">
        <f>INDEX(Students!B:B,MATCH(Master_Data!A91,Students!A:A,0))</f>
        <v>Jamie Wilson</v>
      </c>
      <c r="C91" t="str">
        <f>INDEX(Students!C:C,MATCH(Master_Data!A91,Students!A:A,0))</f>
        <v>Data Science</v>
      </c>
      <c r="D91" t="str">
        <f>INDEX(Students!D:D,MATCH(Master_Data!A91,Students!A:A,0))</f>
        <v>Graduate</v>
      </c>
      <c r="E91">
        <f>INDEX(Students!E:E,MATCH(Master_Data!A91,Students!A:A,0))</f>
        <v>2026</v>
      </c>
      <c r="F91">
        <f>INDEX(Students!F:F,MATCH(Master_Data!A91,Students!A:A,0))</f>
        <v>3.09</v>
      </c>
      <c r="G91" t="str">
        <f>INDEX(Students!G:G,MATCH(Master_Data!A91,Students!A:A,0))</f>
        <v>No</v>
      </c>
      <c r="H91">
        <f>INDEX(Engagement!B:B,MATCH(Master_Data!A91,Engagement!A:A,0))</f>
        <v>2</v>
      </c>
      <c r="I91">
        <f>INDEX(Engagement!C:C,MATCH(Master_Data!A91,Engagement!A:A,0))</f>
        <v>3</v>
      </c>
      <c r="J91">
        <f>INDEX(Engagement!D:D,MATCH(Master_Data!A91,Engagement!A:A,0))</f>
        <v>3</v>
      </c>
      <c r="K91">
        <f>INDEX(Engagement!E:E,MATCH(Master_Data!A91,Engagement!A:A,0))</f>
        <v>2</v>
      </c>
      <c r="L91" t="str">
        <f>INDEX(Outcomes!B:B,MATCH(Master_Data!A91,Engagement!A:A,0))</f>
        <v>Yes</v>
      </c>
      <c r="M91" t="str">
        <f>INDEX(Outcomes!C:C,MATCH(Master_Data!A91,Engagement!A:A,0))</f>
        <v>Seeking</v>
      </c>
      <c r="N91" t="str">
        <f>INDEX(Outcomes!D:D,MATCH(Master_Data!A91,Engagement!A:A,0))</f>
        <v>NA</v>
      </c>
      <c r="O91" t="str">
        <f>INDEX(Outcomes!E:E,MATCH(Master_Data!A91,Engagement!A:A,0))</f>
        <v>NA</v>
      </c>
      <c r="P91">
        <f>INDEX(Outcomes!F:F,MATCH(Master_Data!A91,Engagement!A:A,0))</f>
        <v>0</v>
      </c>
      <c r="Q91">
        <f>INDEX(Outcomes!G:G,MATCH(Master_Data!A91,Engagement!A:A,0))</f>
        <v>0</v>
      </c>
      <c r="R91">
        <f t="shared" si="3"/>
        <v>10</v>
      </c>
      <c r="S91" t="str">
        <f t="shared" si="4"/>
        <v>Seeking</v>
      </c>
      <c r="T91" t="str">
        <f t="shared" si="5"/>
        <v>No Salary</v>
      </c>
    </row>
    <row r="92" spans="1:20" x14ac:dyDescent="0.35">
      <c r="A92" t="s">
        <v>200</v>
      </c>
      <c r="B92" t="str">
        <f>INDEX(Students!B:B,MATCH(Master_Data!A92,Students!A:A,0))</f>
        <v>Rowan Davis</v>
      </c>
      <c r="C92" t="str">
        <f>INDEX(Students!C:C,MATCH(Master_Data!A92,Students!A:A,0))</f>
        <v>Data Science</v>
      </c>
      <c r="D92" t="str">
        <f>INDEX(Students!D:D,MATCH(Master_Data!A92,Students!A:A,0))</f>
        <v>Graduate</v>
      </c>
      <c r="E92">
        <f>INDEX(Students!E:E,MATCH(Master_Data!A92,Students!A:A,0))</f>
        <v>2026</v>
      </c>
      <c r="F92">
        <f>INDEX(Students!F:F,MATCH(Master_Data!A92,Students!A:A,0))</f>
        <v>3.75</v>
      </c>
      <c r="G92" t="str">
        <f>INDEX(Students!G:G,MATCH(Master_Data!A92,Students!A:A,0))</f>
        <v>Yes</v>
      </c>
      <c r="H92">
        <f>INDEX(Engagement!B:B,MATCH(Master_Data!A92,Engagement!A:A,0))</f>
        <v>5</v>
      </c>
      <c r="I92">
        <f>INDEX(Engagement!C:C,MATCH(Master_Data!A92,Engagement!A:A,0))</f>
        <v>2</v>
      </c>
      <c r="J92">
        <f>INDEX(Engagement!D:D,MATCH(Master_Data!A92,Engagement!A:A,0))</f>
        <v>2</v>
      </c>
      <c r="K92">
        <f>INDEX(Engagement!E:E,MATCH(Master_Data!A92,Engagement!A:A,0))</f>
        <v>3</v>
      </c>
      <c r="L92" t="str">
        <f>INDEX(Outcomes!B:B,MATCH(Master_Data!A92,Engagement!A:A,0))</f>
        <v>Yes</v>
      </c>
      <c r="M92" t="str">
        <f>INDEX(Outcomes!C:C,MATCH(Master_Data!A92,Engagement!A:A,0))</f>
        <v>Employed</v>
      </c>
      <c r="N92" t="str">
        <f>INDEX(Outcomes!D:D,MATCH(Master_Data!A92,Engagement!A:A,0))</f>
        <v>Full-Time</v>
      </c>
      <c r="O92" t="str">
        <f>INDEX(Outcomes!E:E,MATCH(Master_Data!A92,Engagement!A:A,0))</f>
        <v>Consulting</v>
      </c>
      <c r="P92">
        <f>INDEX(Outcomes!F:F,MATCH(Master_Data!A92,Engagement!A:A,0))</f>
        <v>74798</v>
      </c>
      <c r="Q92">
        <f>INDEX(Outcomes!G:G,MATCH(Master_Data!A92,Engagement!A:A,0))</f>
        <v>2</v>
      </c>
      <c r="R92">
        <f t="shared" si="3"/>
        <v>12</v>
      </c>
      <c r="S92" t="str">
        <f t="shared" si="4"/>
        <v>Positive Outcome</v>
      </c>
      <c r="T92" t="str">
        <f t="shared" si="5"/>
        <v>Between 50K and 75K</v>
      </c>
    </row>
    <row r="93" spans="1:20" x14ac:dyDescent="0.35">
      <c r="A93" t="s">
        <v>201</v>
      </c>
      <c r="B93" t="str">
        <f>INDEX(Students!B:B,MATCH(Master_Data!A93,Students!A:A,0))</f>
        <v>Cameron Martin</v>
      </c>
      <c r="C93" t="str">
        <f>INDEX(Students!C:C,MATCH(Master_Data!A93,Students!A:A,0))</f>
        <v>Data Science</v>
      </c>
      <c r="D93" t="str">
        <f>INDEX(Students!D:D,MATCH(Master_Data!A93,Students!A:A,0))</f>
        <v>Undergraduate</v>
      </c>
      <c r="E93">
        <f>INDEX(Students!E:E,MATCH(Master_Data!A93,Students!A:A,0))</f>
        <v>2026</v>
      </c>
      <c r="F93">
        <f>INDEX(Students!F:F,MATCH(Master_Data!A93,Students!A:A,0))</f>
        <v>3.37</v>
      </c>
      <c r="G93" t="str">
        <f>INDEX(Students!G:G,MATCH(Master_Data!A93,Students!A:A,0))</f>
        <v>No</v>
      </c>
      <c r="H93">
        <f>INDEX(Engagement!B:B,MATCH(Master_Data!A93,Engagement!A:A,0))</f>
        <v>3</v>
      </c>
      <c r="I93">
        <f>INDEX(Engagement!C:C,MATCH(Master_Data!A93,Engagement!A:A,0))</f>
        <v>0</v>
      </c>
      <c r="J93">
        <f>INDEX(Engagement!D:D,MATCH(Master_Data!A93,Engagement!A:A,0))</f>
        <v>2</v>
      </c>
      <c r="K93">
        <f>INDEX(Engagement!E:E,MATCH(Master_Data!A93,Engagement!A:A,0))</f>
        <v>1</v>
      </c>
      <c r="L93" t="str">
        <f>INDEX(Outcomes!B:B,MATCH(Master_Data!A93,Engagement!A:A,0))</f>
        <v>Yes</v>
      </c>
      <c r="M93" t="str">
        <f>INDEX(Outcomes!C:C,MATCH(Master_Data!A93,Engagement!A:A,0))</f>
        <v>Employed</v>
      </c>
      <c r="N93" t="str">
        <f>INDEX(Outcomes!D:D,MATCH(Master_Data!A93,Engagement!A:A,0))</f>
        <v>Full-Time</v>
      </c>
      <c r="O93" t="str">
        <f>INDEX(Outcomes!E:E,MATCH(Master_Data!A93,Engagement!A:A,0))</f>
        <v>Consulting</v>
      </c>
      <c r="P93">
        <f>INDEX(Outcomes!F:F,MATCH(Master_Data!A93,Engagement!A:A,0))</f>
        <v>69310</v>
      </c>
      <c r="Q93">
        <f>INDEX(Outcomes!G:G,MATCH(Master_Data!A93,Engagement!A:A,0))</f>
        <v>5</v>
      </c>
      <c r="R93">
        <f t="shared" si="3"/>
        <v>6</v>
      </c>
      <c r="S93" t="str">
        <f t="shared" si="4"/>
        <v>Positive Outcome</v>
      </c>
      <c r="T93" t="str">
        <f t="shared" si="5"/>
        <v>Between 50K and 75K</v>
      </c>
    </row>
    <row r="94" spans="1:20" x14ac:dyDescent="0.35">
      <c r="A94" t="s">
        <v>203</v>
      </c>
      <c r="B94" t="str">
        <f>INDEX(Students!B:B,MATCH(Master_Data!A94,Students!A:A,0))</f>
        <v>Quinn Lewis</v>
      </c>
      <c r="C94" t="str">
        <f>INDEX(Students!C:C,MATCH(Master_Data!A94,Students!A:A,0))</f>
        <v>Computer Science</v>
      </c>
      <c r="D94" t="str">
        <f>INDEX(Students!D:D,MATCH(Master_Data!A94,Students!A:A,0))</f>
        <v>Graduate</v>
      </c>
      <c r="E94">
        <f>INDEX(Students!E:E,MATCH(Master_Data!A94,Students!A:A,0))</f>
        <v>2026</v>
      </c>
      <c r="F94">
        <f>INDEX(Students!F:F,MATCH(Master_Data!A94,Students!A:A,0))</f>
        <v>3.1</v>
      </c>
      <c r="G94" t="str">
        <f>INDEX(Students!G:G,MATCH(Master_Data!A94,Students!A:A,0))</f>
        <v>Yes</v>
      </c>
      <c r="H94">
        <f>INDEX(Engagement!B:B,MATCH(Master_Data!A94,Engagement!A:A,0))</f>
        <v>2</v>
      </c>
      <c r="I94">
        <f>INDEX(Engagement!C:C,MATCH(Master_Data!A94,Engagement!A:A,0))</f>
        <v>4</v>
      </c>
      <c r="J94">
        <f>INDEX(Engagement!D:D,MATCH(Master_Data!A94,Engagement!A:A,0))</f>
        <v>1</v>
      </c>
      <c r="K94">
        <f>INDEX(Engagement!E:E,MATCH(Master_Data!A94,Engagement!A:A,0))</f>
        <v>3</v>
      </c>
      <c r="L94" t="str">
        <f>INDEX(Outcomes!B:B,MATCH(Master_Data!A94,Engagement!A:A,0))</f>
        <v>Yes</v>
      </c>
      <c r="M94" t="str">
        <f>INDEX(Outcomes!C:C,MATCH(Master_Data!A94,Engagement!A:A,0))</f>
        <v>Employed</v>
      </c>
      <c r="N94" t="str">
        <f>INDEX(Outcomes!D:D,MATCH(Master_Data!A94,Engagement!A:A,0))</f>
        <v>Internship</v>
      </c>
      <c r="O94" t="str">
        <f>INDEX(Outcomes!E:E,MATCH(Master_Data!A94,Engagement!A:A,0))</f>
        <v>Technology</v>
      </c>
      <c r="P94">
        <f>INDEX(Outcomes!F:F,MATCH(Master_Data!A94,Engagement!A:A,0))</f>
        <v>30007</v>
      </c>
      <c r="Q94">
        <f>INDEX(Outcomes!G:G,MATCH(Master_Data!A94,Engagement!A:A,0))</f>
        <v>2</v>
      </c>
      <c r="R94">
        <f t="shared" si="3"/>
        <v>10</v>
      </c>
      <c r="S94" t="str">
        <f t="shared" si="4"/>
        <v>Positive Outcome</v>
      </c>
      <c r="T94" t="str">
        <f t="shared" si="5"/>
        <v>Below 50K</v>
      </c>
    </row>
    <row r="95" spans="1:20" x14ac:dyDescent="0.35">
      <c r="A95" t="s">
        <v>205</v>
      </c>
      <c r="B95" t="str">
        <f>INDEX(Students!B:B,MATCH(Master_Data!A95,Students!A:A,0))</f>
        <v>Avery Thomas</v>
      </c>
      <c r="C95" t="str">
        <f>INDEX(Students!C:C,MATCH(Master_Data!A95,Students!A:A,0))</f>
        <v>Business Analytics</v>
      </c>
      <c r="D95" t="str">
        <f>INDEX(Students!D:D,MATCH(Master_Data!A95,Students!A:A,0))</f>
        <v>Graduate</v>
      </c>
      <c r="E95">
        <f>INDEX(Students!E:E,MATCH(Master_Data!A95,Students!A:A,0))</f>
        <v>2027</v>
      </c>
      <c r="F95">
        <f>INDEX(Students!F:F,MATCH(Master_Data!A95,Students!A:A,0))</f>
        <v>3.02</v>
      </c>
      <c r="G95" t="str">
        <f>INDEX(Students!G:G,MATCH(Master_Data!A95,Students!A:A,0))</f>
        <v>Yes</v>
      </c>
      <c r="H95">
        <f>INDEX(Engagement!B:B,MATCH(Master_Data!A95,Engagement!A:A,0))</f>
        <v>4</v>
      </c>
      <c r="I95">
        <f>INDEX(Engagement!C:C,MATCH(Master_Data!A95,Engagement!A:A,0))</f>
        <v>2</v>
      </c>
      <c r="J95">
        <f>INDEX(Engagement!D:D,MATCH(Master_Data!A95,Engagement!A:A,0))</f>
        <v>2</v>
      </c>
      <c r="K95">
        <f>INDEX(Engagement!E:E,MATCH(Master_Data!A95,Engagement!A:A,0))</f>
        <v>3</v>
      </c>
      <c r="L95" t="str">
        <f>INDEX(Outcomes!B:B,MATCH(Master_Data!A95,Engagement!A:A,0))</f>
        <v>Yes</v>
      </c>
      <c r="M95" t="str">
        <f>INDEX(Outcomes!C:C,MATCH(Master_Data!A95,Engagement!A:A,0))</f>
        <v>Employed</v>
      </c>
      <c r="N95" t="str">
        <f>INDEX(Outcomes!D:D,MATCH(Master_Data!A95,Engagement!A:A,0))</f>
        <v>Full-Time</v>
      </c>
      <c r="O95" t="str">
        <f>INDEX(Outcomes!E:E,MATCH(Master_Data!A95,Engagement!A:A,0))</f>
        <v>Finance</v>
      </c>
      <c r="P95">
        <f>INDEX(Outcomes!F:F,MATCH(Master_Data!A95,Engagement!A:A,0))</f>
        <v>75204</v>
      </c>
      <c r="Q95">
        <f>INDEX(Outcomes!G:G,MATCH(Master_Data!A95,Engagement!A:A,0))</f>
        <v>4</v>
      </c>
      <c r="R95">
        <f t="shared" si="3"/>
        <v>11</v>
      </c>
      <c r="S95" t="str">
        <f t="shared" si="4"/>
        <v>Positive Outcome</v>
      </c>
      <c r="T95" t="str">
        <f t="shared" si="5"/>
        <v>Above 75K</v>
      </c>
    </row>
    <row r="96" spans="1:20" x14ac:dyDescent="0.35">
      <c r="A96" t="s">
        <v>207</v>
      </c>
      <c r="B96" t="str">
        <f>INDEX(Students!B:B,MATCH(Master_Data!A96,Students!A:A,0))</f>
        <v>Emerson Wilson</v>
      </c>
      <c r="C96" t="str">
        <f>INDEX(Students!C:C,MATCH(Master_Data!A96,Students!A:A,0))</f>
        <v>Finance</v>
      </c>
      <c r="D96" t="str">
        <f>INDEX(Students!D:D,MATCH(Master_Data!A96,Students!A:A,0))</f>
        <v>Graduate</v>
      </c>
      <c r="E96">
        <f>INDEX(Students!E:E,MATCH(Master_Data!A96,Students!A:A,0))</f>
        <v>2026</v>
      </c>
      <c r="F96">
        <f>INDEX(Students!F:F,MATCH(Master_Data!A96,Students!A:A,0))</f>
        <v>3.14</v>
      </c>
      <c r="G96" t="str">
        <f>INDEX(Students!G:G,MATCH(Master_Data!A96,Students!A:A,0))</f>
        <v>Yes</v>
      </c>
      <c r="H96">
        <f>INDEX(Engagement!B:B,MATCH(Master_Data!A96,Engagement!A:A,0))</f>
        <v>4</v>
      </c>
      <c r="I96">
        <f>INDEX(Engagement!C:C,MATCH(Master_Data!A96,Engagement!A:A,0))</f>
        <v>2</v>
      </c>
      <c r="J96">
        <f>INDEX(Engagement!D:D,MATCH(Master_Data!A96,Engagement!A:A,0))</f>
        <v>3</v>
      </c>
      <c r="K96">
        <f>INDEX(Engagement!E:E,MATCH(Master_Data!A96,Engagement!A:A,0))</f>
        <v>2</v>
      </c>
      <c r="L96" t="str">
        <f>INDEX(Outcomes!B:B,MATCH(Master_Data!A96,Engagement!A:A,0))</f>
        <v>No</v>
      </c>
      <c r="M96" t="str">
        <f>INDEX(Outcomes!C:C,MATCH(Master_Data!A96,Engagement!A:A,0))</f>
        <v>Employed</v>
      </c>
      <c r="N96" t="str">
        <f>INDEX(Outcomes!D:D,MATCH(Master_Data!A96,Engagement!A:A,0))</f>
        <v>Full-Time</v>
      </c>
      <c r="O96" t="str">
        <f>INDEX(Outcomes!E:E,MATCH(Master_Data!A96,Engagement!A:A,0))</f>
        <v>Finance</v>
      </c>
      <c r="P96">
        <f>INDEX(Outcomes!F:F,MATCH(Master_Data!A96,Engagement!A:A,0))</f>
        <v>74071</v>
      </c>
      <c r="Q96">
        <f>INDEX(Outcomes!G:G,MATCH(Master_Data!A96,Engagement!A:A,0))</f>
        <v>6</v>
      </c>
      <c r="R96">
        <f t="shared" si="3"/>
        <v>11</v>
      </c>
      <c r="S96" t="str">
        <f t="shared" si="4"/>
        <v>Positive Outcome</v>
      </c>
      <c r="T96" t="str">
        <f t="shared" si="5"/>
        <v>Between 50K and 75K</v>
      </c>
    </row>
    <row r="97" spans="1:20" x14ac:dyDescent="0.35">
      <c r="A97" t="s">
        <v>209</v>
      </c>
      <c r="B97" t="str">
        <f>INDEX(Students!B:B,MATCH(Master_Data!A97,Students!A:A,0))</f>
        <v>Avery Anderson</v>
      </c>
      <c r="C97" t="str">
        <f>INDEX(Students!C:C,MATCH(Master_Data!A97,Students!A:A,0))</f>
        <v>Computer Science</v>
      </c>
      <c r="D97" t="str">
        <f>INDEX(Students!D:D,MATCH(Master_Data!A97,Students!A:A,0))</f>
        <v>Undergraduate</v>
      </c>
      <c r="E97">
        <f>INDEX(Students!E:E,MATCH(Master_Data!A97,Students!A:A,0))</f>
        <v>2026</v>
      </c>
      <c r="F97">
        <f>INDEX(Students!F:F,MATCH(Master_Data!A97,Students!A:A,0))</f>
        <v>3.44</v>
      </c>
      <c r="G97" t="str">
        <f>INDEX(Students!G:G,MATCH(Master_Data!A97,Students!A:A,0))</f>
        <v>Yes</v>
      </c>
      <c r="H97">
        <f>INDEX(Engagement!B:B,MATCH(Master_Data!A97,Engagement!A:A,0))</f>
        <v>3</v>
      </c>
      <c r="I97">
        <f>INDEX(Engagement!C:C,MATCH(Master_Data!A97,Engagement!A:A,0))</f>
        <v>2</v>
      </c>
      <c r="J97">
        <f>INDEX(Engagement!D:D,MATCH(Master_Data!A97,Engagement!A:A,0))</f>
        <v>3</v>
      </c>
      <c r="K97">
        <f>INDEX(Engagement!E:E,MATCH(Master_Data!A97,Engagement!A:A,0))</f>
        <v>1</v>
      </c>
      <c r="L97" t="str">
        <f>INDEX(Outcomes!B:B,MATCH(Master_Data!A97,Engagement!A:A,0))</f>
        <v>No</v>
      </c>
      <c r="M97" t="str">
        <f>INDEX(Outcomes!C:C,MATCH(Master_Data!A97,Engagement!A:A,0))</f>
        <v>Employed</v>
      </c>
      <c r="N97" t="str">
        <f>INDEX(Outcomes!D:D,MATCH(Master_Data!A97,Engagement!A:A,0))</f>
        <v>Full-Time</v>
      </c>
      <c r="O97" t="str">
        <f>INDEX(Outcomes!E:E,MATCH(Master_Data!A97,Engagement!A:A,0))</f>
        <v>Consulting</v>
      </c>
      <c r="P97">
        <f>INDEX(Outcomes!F:F,MATCH(Master_Data!A97,Engagement!A:A,0))</f>
        <v>66440</v>
      </c>
      <c r="Q97">
        <f>INDEX(Outcomes!G:G,MATCH(Master_Data!A97,Engagement!A:A,0))</f>
        <v>2</v>
      </c>
      <c r="R97">
        <f t="shared" si="3"/>
        <v>9</v>
      </c>
      <c r="S97" t="str">
        <f t="shared" si="4"/>
        <v>Positive Outcome</v>
      </c>
      <c r="T97" t="str">
        <f t="shared" si="5"/>
        <v>Between 50K and 75K</v>
      </c>
    </row>
    <row r="98" spans="1:20" x14ac:dyDescent="0.35">
      <c r="A98" t="s">
        <v>211</v>
      </c>
      <c r="B98" t="str">
        <f>INDEX(Students!B:B,MATCH(Master_Data!A98,Students!A:A,0))</f>
        <v>Jordan Lewis</v>
      </c>
      <c r="C98" t="str">
        <f>INDEX(Students!C:C,MATCH(Master_Data!A98,Students!A:A,0))</f>
        <v>Computer Science</v>
      </c>
      <c r="D98" t="str">
        <f>INDEX(Students!D:D,MATCH(Master_Data!A98,Students!A:A,0))</f>
        <v>Graduate</v>
      </c>
      <c r="E98">
        <f>INDEX(Students!E:E,MATCH(Master_Data!A98,Students!A:A,0))</f>
        <v>2026</v>
      </c>
      <c r="F98">
        <f>INDEX(Students!F:F,MATCH(Master_Data!A98,Students!A:A,0))</f>
        <v>3.7</v>
      </c>
      <c r="G98" t="str">
        <f>INDEX(Students!G:G,MATCH(Master_Data!A98,Students!A:A,0))</f>
        <v>Yes</v>
      </c>
      <c r="H98">
        <f>INDEX(Engagement!B:B,MATCH(Master_Data!A98,Engagement!A:A,0))</f>
        <v>6</v>
      </c>
      <c r="I98">
        <f>INDEX(Engagement!C:C,MATCH(Master_Data!A98,Engagement!A:A,0))</f>
        <v>1</v>
      </c>
      <c r="J98">
        <f>INDEX(Engagement!D:D,MATCH(Master_Data!A98,Engagement!A:A,0))</f>
        <v>2</v>
      </c>
      <c r="K98">
        <f>INDEX(Engagement!E:E,MATCH(Master_Data!A98,Engagement!A:A,0))</f>
        <v>1</v>
      </c>
      <c r="L98" t="str">
        <f>INDEX(Outcomes!B:B,MATCH(Master_Data!A98,Engagement!A:A,0))</f>
        <v>Yes</v>
      </c>
      <c r="M98" t="str">
        <f>INDEX(Outcomes!C:C,MATCH(Master_Data!A98,Engagement!A:A,0))</f>
        <v>Employed</v>
      </c>
      <c r="N98" t="str">
        <f>INDEX(Outcomes!D:D,MATCH(Master_Data!A98,Engagement!A:A,0))</f>
        <v>Internship</v>
      </c>
      <c r="O98" t="str">
        <f>INDEX(Outcomes!E:E,MATCH(Master_Data!A98,Engagement!A:A,0))</f>
        <v>Consulting</v>
      </c>
      <c r="P98">
        <f>INDEX(Outcomes!F:F,MATCH(Master_Data!A98,Engagement!A:A,0))</f>
        <v>29204</v>
      </c>
      <c r="Q98">
        <f>INDEX(Outcomes!G:G,MATCH(Master_Data!A98,Engagement!A:A,0))</f>
        <v>2</v>
      </c>
      <c r="R98">
        <f t="shared" si="3"/>
        <v>10</v>
      </c>
      <c r="S98" t="str">
        <f t="shared" si="4"/>
        <v>Positive Outcome</v>
      </c>
      <c r="T98" t="str">
        <f t="shared" si="5"/>
        <v>Below 50K</v>
      </c>
    </row>
    <row r="99" spans="1:20" x14ac:dyDescent="0.35">
      <c r="A99" t="s">
        <v>213</v>
      </c>
      <c r="B99" t="str">
        <f>INDEX(Students!B:B,MATCH(Master_Data!A99,Students!A:A,0))</f>
        <v>Alex Walker</v>
      </c>
      <c r="C99" t="str">
        <f>INDEX(Students!C:C,MATCH(Master_Data!A99,Students!A:A,0))</f>
        <v>Computer Science</v>
      </c>
      <c r="D99" t="str">
        <f>INDEX(Students!D:D,MATCH(Master_Data!A99,Students!A:A,0))</f>
        <v>Graduate</v>
      </c>
      <c r="E99">
        <f>INDEX(Students!E:E,MATCH(Master_Data!A99,Students!A:A,0))</f>
        <v>2026</v>
      </c>
      <c r="F99">
        <f>INDEX(Students!F:F,MATCH(Master_Data!A99,Students!A:A,0))</f>
        <v>3.96</v>
      </c>
      <c r="G99" t="str">
        <f>INDEX(Students!G:G,MATCH(Master_Data!A99,Students!A:A,0))</f>
        <v>Yes</v>
      </c>
      <c r="H99">
        <f>INDEX(Engagement!B:B,MATCH(Master_Data!A99,Engagement!A:A,0))</f>
        <v>3</v>
      </c>
      <c r="I99">
        <f>INDEX(Engagement!C:C,MATCH(Master_Data!A99,Engagement!A:A,0))</f>
        <v>3</v>
      </c>
      <c r="J99">
        <f>INDEX(Engagement!D:D,MATCH(Master_Data!A99,Engagement!A:A,0))</f>
        <v>2</v>
      </c>
      <c r="K99">
        <f>INDEX(Engagement!E:E,MATCH(Master_Data!A99,Engagement!A:A,0))</f>
        <v>1</v>
      </c>
      <c r="L99" t="str">
        <f>INDEX(Outcomes!B:B,MATCH(Master_Data!A99,Engagement!A:A,0))</f>
        <v>Yes</v>
      </c>
      <c r="M99" t="str">
        <f>INDEX(Outcomes!C:C,MATCH(Master_Data!A99,Engagement!A:A,0))</f>
        <v>Employed</v>
      </c>
      <c r="N99" t="str">
        <f>INDEX(Outcomes!D:D,MATCH(Master_Data!A99,Engagement!A:A,0))</f>
        <v>Internship</v>
      </c>
      <c r="O99" t="str">
        <f>INDEX(Outcomes!E:E,MATCH(Master_Data!A99,Engagement!A:A,0))</f>
        <v>Technology</v>
      </c>
      <c r="P99">
        <f>INDEX(Outcomes!F:F,MATCH(Master_Data!A99,Engagement!A:A,0))</f>
        <v>33555</v>
      </c>
      <c r="Q99">
        <f>INDEX(Outcomes!G:G,MATCH(Master_Data!A99,Engagement!A:A,0))</f>
        <v>3</v>
      </c>
      <c r="R99">
        <f t="shared" si="3"/>
        <v>9</v>
      </c>
      <c r="S99" t="str">
        <f t="shared" si="4"/>
        <v>Positive Outcome</v>
      </c>
      <c r="T99" t="str">
        <f t="shared" si="5"/>
        <v>Below 50K</v>
      </c>
    </row>
    <row r="100" spans="1:20" x14ac:dyDescent="0.35">
      <c r="A100" t="s">
        <v>215</v>
      </c>
      <c r="B100" t="str">
        <f>INDEX(Students!B:B,MATCH(Master_Data!A100,Students!A:A,0))</f>
        <v>Emerson Lee</v>
      </c>
      <c r="C100" t="str">
        <f>INDEX(Students!C:C,MATCH(Master_Data!A100,Students!A:A,0))</f>
        <v>Finance</v>
      </c>
      <c r="D100" t="str">
        <f>INDEX(Students!D:D,MATCH(Master_Data!A100,Students!A:A,0))</f>
        <v>Undergraduate</v>
      </c>
      <c r="E100">
        <f>INDEX(Students!E:E,MATCH(Master_Data!A100,Students!A:A,0))</f>
        <v>2026</v>
      </c>
      <c r="F100">
        <f>INDEX(Students!F:F,MATCH(Master_Data!A100,Students!A:A,0))</f>
        <v>3.56</v>
      </c>
      <c r="G100" t="str">
        <f>INDEX(Students!G:G,MATCH(Master_Data!A100,Students!A:A,0))</f>
        <v>Yes</v>
      </c>
      <c r="H100">
        <f>INDEX(Engagement!B:B,MATCH(Master_Data!A100,Engagement!A:A,0))</f>
        <v>3</v>
      </c>
      <c r="I100">
        <f>INDEX(Engagement!C:C,MATCH(Master_Data!A100,Engagement!A:A,0))</f>
        <v>2</v>
      </c>
      <c r="J100">
        <f>INDEX(Engagement!D:D,MATCH(Master_Data!A100,Engagement!A:A,0))</f>
        <v>1</v>
      </c>
      <c r="K100">
        <f>INDEX(Engagement!E:E,MATCH(Master_Data!A100,Engagement!A:A,0))</f>
        <v>0</v>
      </c>
      <c r="L100" t="str">
        <f>INDEX(Outcomes!B:B,MATCH(Master_Data!A100,Engagement!A:A,0))</f>
        <v>Yes</v>
      </c>
      <c r="M100" t="str">
        <f>INDEX(Outcomes!C:C,MATCH(Master_Data!A100,Engagement!A:A,0))</f>
        <v>Employed</v>
      </c>
      <c r="N100" t="str">
        <f>INDEX(Outcomes!D:D,MATCH(Master_Data!A100,Engagement!A:A,0))</f>
        <v>Full-Time</v>
      </c>
      <c r="O100" t="str">
        <f>INDEX(Outcomes!E:E,MATCH(Master_Data!A100,Engagement!A:A,0))</f>
        <v>Consulting</v>
      </c>
      <c r="P100">
        <f>INDEX(Outcomes!F:F,MATCH(Master_Data!A100,Engagement!A:A,0))</f>
        <v>67959</v>
      </c>
      <c r="Q100">
        <f>INDEX(Outcomes!G:G,MATCH(Master_Data!A100,Engagement!A:A,0))</f>
        <v>3</v>
      </c>
      <c r="R100">
        <f t="shared" si="3"/>
        <v>6</v>
      </c>
      <c r="S100" t="str">
        <f t="shared" si="4"/>
        <v>Positive Outcome</v>
      </c>
      <c r="T100" t="str">
        <f t="shared" si="5"/>
        <v>Between 50K and 75K</v>
      </c>
    </row>
    <row r="101" spans="1:20" x14ac:dyDescent="0.35">
      <c r="A101" t="s">
        <v>217</v>
      </c>
      <c r="B101" t="str">
        <f>INDEX(Students!B:B,MATCH(Master_Data!A101,Students!A:A,0))</f>
        <v>Casey Walker</v>
      </c>
      <c r="C101" t="str">
        <f>INDEX(Students!C:C,MATCH(Master_Data!A101,Students!A:A,0))</f>
        <v>Marketing</v>
      </c>
      <c r="D101" t="str">
        <f>INDEX(Students!D:D,MATCH(Master_Data!A101,Students!A:A,0))</f>
        <v>Undergraduate</v>
      </c>
      <c r="E101">
        <f>INDEX(Students!E:E,MATCH(Master_Data!A101,Students!A:A,0))</f>
        <v>2026</v>
      </c>
      <c r="F101">
        <f>INDEX(Students!F:F,MATCH(Master_Data!A101,Students!A:A,0))</f>
        <v>3.47</v>
      </c>
      <c r="G101" t="str">
        <f>INDEX(Students!G:G,MATCH(Master_Data!A101,Students!A:A,0))</f>
        <v>No</v>
      </c>
      <c r="H101">
        <f>INDEX(Engagement!B:B,MATCH(Master_Data!A101,Engagement!A:A,0))</f>
        <v>1</v>
      </c>
      <c r="I101">
        <f>INDEX(Engagement!C:C,MATCH(Master_Data!A101,Engagement!A:A,0))</f>
        <v>1</v>
      </c>
      <c r="J101">
        <f>INDEX(Engagement!D:D,MATCH(Master_Data!A101,Engagement!A:A,0))</f>
        <v>0</v>
      </c>
      <c r="K101">
        <f>INDEX(Engagement!E:E,MATCH(Master_Data!A101,Engagement!A:A,0))</f>
        <v>1</v>
      </c>
      <c r="L101" t="str">
        <f>INDEX(Outcomes!B:B,MATCH(Master_Data!A101,Engagement!A:A,0))</f>
        <v>No</v>
      </c>
      <c r="M101" t="str">
        <f>INDEX(Outcomes!C:C,MATCH(Master_Data!A101,Engagement!A:A,0))</f>
        <v>Seeking</v>
      </c>
      <c r="N101" t="str">
        <f>INDEX(Outcomes!D:D,MATCH(Master_Data!A101,Engagement!A:A,0))</f>
        <v>NA</v>
      </c>
      <c r="O101" t="str">
        <f>INDEX(Outcomes!E:E,MATCH(Master_Data!A101,Engagement!A:A,0))</f>
        <v>NA</v>
      </c>
      <c r="P101">
        <f>INDEX(Outcomes!F:F,MATCH(Master_Data!A101,Engagement!A:A,0))</f>
        <v>0</v>
      </c>
      <c r="Q101">
        <f>INDEX(Outcomes!G:G,MATCH(Master_Data!A101,Engagement!A:A,0))</f>
        <v>0</v>
      </c>
      <c r="R101">
        <f t="shared" si="3"/>
        <v>3</v>
      </c>
      <c r="S101" t="str">
        <f t="shared" si="4"/>
        <v>Seeking</v>
      </c>
      <c r="T101" t="str">
        <f t="shared" si="5"/>
        <v>No Salary</v>
      </c>
    </row>
    <row r="102" spans="1:20" x14ac:dyDescent="0.35">
      <c r="A102" t="s">
        <v>219</v>
      </c>
      <c r="B102" t="str">
        <f>INDEX(Students!B:B,MATCH(Master_Data!A102,Students!A:A,0))</f>
        <v>Jamie Hall</v>
      </c>
      <c r="C102" t="str">
        <f>INDEX(Students!C:C,MATCH(Master_Data!A102,Students!A:A,0))</f>
        <v>Computer Science</v>
      </c>
      <c r="D102" t="str">
        <f>INDEX(Students!D:D,MATCH(Master_Data!A102,Students!A:A,0))</f>
        <v>Graduate</v>
      </c>
      <c r="E102">
        <f>INDEX(Students!E:E,MATCH(Master_Data!A102,Students!A:A,0))</f>
        <v>2026</v>
      </c>
      <c r="F102">
        <f>INDEX(Students!F:F,MATCH(Master_Data!A102,Students!A:A,0))</f>
        <v>3.33</v>
      </c>
      <c r="G102" t="str">
        <f>INDEX(Students!G:G,MATCH(Master_Data!A102,Students!A:A,0))</f>
        <v>No</v>
      </c>
      <c r="H102">
        <f>INDEX(Engagement!B:B,MATCH(Master_Data!A102,Engagement!A:A,0))</f>
        <v>3</v>
      </c>
      <c r="I102">
        <f>INDEX(Engagement!C:C,MATCH(Master_Data!A102,Engagement!A:A,0))</f>
        <v>2</v>
      </c>
      <c r="J102">
        <f>INDEX(Engagement!D:D,MATCH(Master_Data!A102,Engagement!A:A,0))</f>
        <v>2</v>
      </c>
      <c r="K102">
        <f>INDEX(Engagement!E:E,MATCH(Master_Data!A102,Engagement!A:A,0))</f>
        <v>1</v>
      </c>
      <c r="L102" t="str">
        <f>INDEX(Outcomes!B:B,MATCH(Master_Data!A102,Engagement!A:A,0))</f>
        <v>Yes</v>
      </c>
      <c r="M102" t="str">
        <f>INDEX(Outcomes!C:C,MATCH(Master_Data!A102,Engagement!A:A,0))</f>
        <v>Employed</v>
      </c>
      <c r="N102" t="str">
        <f>INDEX(Outcomes!D:D,MATCH(Master_Data!A102,Engagement!A:A,0))</f>
        <v>Full-Time</v>
      </c>
      <c r="O102" t="str">
        <f>INDEX(Outcomes!E:E,MATCH(Master_Data!A102,Engagement!A:A,0))</f>
        <v>Healthcare</v>
      </c>
      <c r="P102">
        <f>INDEX(Outcomes!F:F,MATCH(Master_Data!A102,Engagement!A:A,0))</f>
        <v>66733</v>
      </c>
      <c r="Q102">
        <f>INDEX(Outcomes!G:G,MATCH(Master_Data!A102,Engagement!A:A,0))</f>
        <v>3</v>
      </c>
      <c r="R102">
        <f t="shared" si="3"/>
        <v>8</v>
      </c>
      <c r="S102" t="str">
        <f t="shared" si="4"/>
        <v>Positive Outcome</v>
      </c>
      <c r="T102" t="str">
        <f t="shared" si="5"/>
        <v>Between 50K and 75K</v>
      </c>
    </row>
    <row r="103" spans="1:20" x14ac:dyDescent="0.35">
      <c r="A103" t="s">
        <v>221</v>
      </c>
      <c r="B103" t="str">
        <f>INDEX(Students!B:B,MATCH(Master_Data!A103,Students!A:A,0))</f>
        <v>Quinn Anderson</v>
      </c>
      <c r="C103" t="str">
        <f>INDEX(Students!C:C,MATCH(Master_Data!A103,Students!A:A,0))</f>
        <v>Data Science</v>
      </c>
      <c r="D103" t="str">
        <f>INDEX(Students!D:D,MATCH(Master_Data!A103,Students!A:A,0))</f>
        <v>Undergraduate</v>
      </c>
      <c r="E103">
        <f>INDEX(Students!E:E,MATCH(Master_Data!A103,Students!A:A,0))</f>
        <v>2027</v>
      </c>
      <c r="F103">
        <f>INDEX(Students!F:F,MATCH(Master_Data!A103,Students!A:A,0))</f>
        <v>2.92</v>
      </c>
      <c r="G103" t="str">
        <f>INDEX(Students!G:G,MATCH(Master_Data!A103,Students!A:A,0))</f>
        <v>No</v>
      </c>
      <c r="H103">
        <f>INDEX(Engagement!B:B,MATCH(Master_Data!A103,Engagement!A:A,0))</f>
        <v>3</v>
      </c>
      <c r="I103">
        <f>INDEX(Engagement!C:C,MATCH(Master_Data!A103,Engagement!A:A,0))</f>
        <v>0</v>
      </c>
      <c r="J103">
        <f>INDEX(Engagement!D:D,MATCH(Master_Data!A103,Engagement!A:A,0))</f>
        <v>2</v>
      </c>
      <c r="K103">
        <f>INDEX(Engagement!E:E,MATCH(Master_Data!A103,Engagement!A:A,0))</f>
        <v>1</v>
      </c>
      <c r="L103" t="str">
        <f>INDEX(Outcomes!B:B,MATCH(Master_Data!A103,Engagement!A:A,0))</f>
        <v>Yes</v>
      </c>
      <c r="M103" t="str">
        <f>INDEX(Outcomes!C:C,MATCH(Master_Data!A103,Engagement!A:A,0))</f>
        <v>Seeking</v>
      </c>
      <c r="N103" t="str">
        <f>INDEX(Outcomes!D:D,MATCH(Master_Data!A103,Engagement!A:A,0))</f>
        <v>NA</v>
      </c>
      <c r="O103" t="str">
        <f>INDEX(Outcomes!E:E,MATCH(Master_Data!A103,Engagement!A:A,0))</f>
        <v>NA</v>
      </c>
      <c r="P103">
        <f>INDEX(Outcomes!F:F,MATCH(Master_Data!A103,Engagement!A:A,0))</f>
        <v>0</v>
      </c>
      <c r="Q103">
        <f>INDEX(Outcomes!G:G,MATCH(Master_Data!A103,Engagement!A:A,0))</f>
        <v>0</v>
      </c>
      <c r="R103">
        <f t="shared" si="3"/>
        <v>6</v>
      </c>
      <c r="S103" t="str">
        <f t="shared" si="4"/>
        <v>Seeking</v>
      </c>
      <c r="T103" t="str">
        <f t="shared" si="5"/>
        <v>No Salary</v>
      </c>
    </row>
    <row r="104" spans="1:20" x14ac:dyDescent="0.35">
      <c r="A104" t="s">
        <v>223</v>
      </c>
      <c r="B104" t="str">
        <f>INDEX(Students!B:B,MATCH(Master_Data!A104,Students!A:A,0))</f>
        <v>Avery Wilson</v>
      </c>
      <c r="C104" t="str">
        <f>INDEX(Students!C:C,MATCH(Master_Data!A104,Students!A:A,0))</f>
        <v>Data Science</v>
      </c>
      <c r="D104" t="str">
        <f>INDEX(Students!D:D,MATCH(Master_Data!A104,Students!A:A,0))</f>
        <v>Undergraduate</v>
      </c>
      <c r="E104">
        <f>INDEX(Students!E:E,MATCH(Master_Data!A104,Students!A:A,0))</f>
        <v>2026</v>
      </c>
      <c r="F104">
        <f>INDEX(Students!F:F,MATCH(Master_Data!A104,Students!A:A,0))</f>
        <v>2.89</v>
      </c>
      <c r="G104" t="str">
        <f>INDEX(Students!G:G,MATCH(Master_Data!A104,Students!A:A,0))</f>
        <v>Yes</v>
      </c>
      <c r="H104">
        <f>INDEX(Engagement!B:B,MATCH(Master_Data!A104,Engagement!A:A,0))</f>
        <v>3</v>
      </c>
      <c r="I104">
        <f>INDEX(Engagement!C:C,MATCH(Master_Data!A104,Engagement!A:A,0))</f>
        <v>0</v>
      </c>
      <c r="J104">
        <f>INDEX(Engagement!D:D,MATCH(Master_Data!A104,Engagement!A:A,0))</f>
        <v>1</v>
      </c>
      <c r="K104">
        <f>INDEX(Engagement!E:E,MATCH(Master_Data!A104,Engagement!A:A,0))</f>
        <v>0</v>
      </c>
      <c r="L104" t="str">
        <f>INDEX(Outcomes!B:B,MATCH(Master_Data!A104,Engagement!A:A,0))</f>
        <v>No</v>
      </c>
      <c r="M104" t="str">
        <f>INDEX(Outcomes!C:C,MATCH(Master_Data!A104,Engagement!A:A,0))</f>
        <v>Employed</v>
      </c>
      <c r="N104" t="str">
        <f>INDEX(Outcomes!D:D,MATCH(Master_Data!A104,Engagement!A:A,0))</f>
        <v>Full-Time</v>
      </c>
      <c r="O104" t="str">
        <f>INDEX(Outcomes!E:E,MATCH(Master_Data!A104,Engagement!A:A,0))</f>
        <v>Consulting</v>
      </c>
      <c r="P104">
        <f>INDEX(Outcomes!F:F,MATCH(Master_Data!A104,Engagement!A:A,0))</f>
        <v>67059</v>
      </c>
      <c r="Q104">
        <f>INDEX(Outcomes!G:G,MATCH(Master_Data!A104,Engagement!A:A,0))</f>
        <v>1</v>
      </c>
      <c r="R104">
        <f t="shared" si="3"/>
        <v>4</v>
      </c>
      <c r="S104" t="str">
        <f t="shared" si="4"/>
        <v>Positive Outcome</v>
      </c>
      <c r="T104" t="str">
        <f t="shared" si="5"/>
        <v>Between 50K and 75K</v>
      </c>
    </row>
    <row r="105" spans="1:20" x14ac:dyDescent="0.35">
      <c r="A105" t="s">
        <v>225</v>
      </c>
      <c r="B105" t="str">
        <f>INDEX(Students!B:B,MATCH(Master_Data!A105,Students!A:A,0))</f>
        <v>Hayden Hall</v>
      </c>
      <c r="C105" t="str">
        <f>INDEX(Students!C:C,MATCH(Master_Data!A105,Students!A:A,0))</f>
        <v>Economics</v>
      </c>
      <c r="D105" t="str">
        <f>INDEX(Students!D:D,MATCH(Master_Data!A105,Students!A:A,0))</f>
        <v>Undergraduate</v>
      </c>
      <c r="E105">
        <f>INDEX(Students!E:E,MATCH(Master_Data!A105,Students!A:A,0))</f>
        <v>2026</v>
      </c>
      <c r="F105">
        <f>INDEX(Students!F:F,MATCH(Master_Data!A105,Students!A:A,0))</f>
        <v>3.14</v>
      </c>
      <c r="G105" t="str">
        <f>INDEX(Students!G:G,MATCH(Master_Data!A105,Students!A:A,0))</f>
        <v>No</v>
      </c>
      <c r="H105">
        <f>INDEX(Engagement!B:B,MATCH(Master_Data!A105,Engagement!A:A,0))</f>
        <v>2</v>
      </c>
      <c r="I105">
        <f>INDEX(Engagement!C:C,MATCH(Master_Data!A105,Engagement!A:A,0))</f>
        <v>1</v>
      </c>
      <c r="J105">
        <f>INDEX(Engagement!D:D,MATCH(Master_Data!A105,Engagement!A:A,0))</f>
        <v>1</v>
      </c>
      <c r="K105">
        <f>INDEX(Engagement!E:E,MATCH(Master_Data!A105,Engagement!A:A,0))</f>
        <v>1</v>
      </c>
      <c r="L105" t="str">
        <f>INDEX(Outcomes!B:B,MATCH(Master_Data!A105,Engagement!A:A,0))</f>
        <v>Yes</v>
      </c>
      <c r="M105" t="str">
        <f>INDEX(Outcomes!C:C,MATCH(Master_Data!A105,Engagement!A:A,0))</f>
        <v>Employed</v>
      </c>
      <c r="N105" t="str">
        <f>INDEX(Outcomes!D:D,MATCH(Master_Data!A105,Engagement!A:A,0))</f>
        <v>Internship</v>
      </c>
      <c r="O105" t="str">
        <f>INDEX(Outcomes!E:E,MATCH(Master_Data!A105,Engagement!A:A,0))</f>
        <v>Education</v>
      </c>
      <c r="P105">
        <f>INDEX(Outcomes!F:F,MATCH(Master_Data!A105,Engagement!A:A,0))</f>
        <v>34723</v>
      </c>
      <c r="Q105">
        <f>INDEX(Outcomes!G:G,MATCH(Master_Data!A105,Engagement!A:A,0))</f>
        <v>2</v>
      </c>
      <c r="R105">
        <f t="shared" si="3"/>
        <v>5</v>
      </c>
      <c r="S105" t="str">
        <f t="shared" si="4"/>
        <v>Positive Outcome</v>
      </c>
      <c r="T105" t="str">
        <f t="shared" si="5"/>
        <v>Below 50K</v>
      </c>
    </row>
    <row r="106" spans="1:20" x14ac:dyDescent="0.35">
      <c r="A106" t="s">
        <v>226</v>
      </c>
      <c r="B106" t="str">
        <f>INDEX(Students!B:B,MATCH(Master_Data!A106,Students!A:A,0))</f>
        <v>Taylor Davis</v>
      </c>
      <c r="C106" t="str">
        <f>INDEX(Students!C:C,MATCH(Master_Data!A106,Students!A:A,0))</f>
        <v>Marketing</v>
      </c>
      <c r="D106" t="str">
        <f>INDEX(Students!D:D,MATCH(Master_Data!A106,Students!A:A,0))</f>
        <v>Graduate</v>
      </c>
      <c r="E106">
        <f>INDEX(Students!E:E,MATCH(Master_Data!A106,Students!A:A,0))</f>
        <v>2026</v>
      </c>
      <c r="F106">
        <f>INDEX(Students!F:F,MATCH(Master_Data!A106,Students!A:A,0))</f>
        <v>3.59</v>
      </c>
      <c r="G106" t="str">
        <f>INDEX(Students!G:G,MATCH(Master_Data!A106,Students!A:A,0))</f>
        <v>No</v>
      </c>
      <c r="H106">
        <f>INDEX(Engagement!B:B,MATCH(Master_Data!A106,Engagement!A:A,0))</f>
        <v>3</v>
      </c>
      <c r="I106">
        <f>INDEX(Engagement!C:C,MATCH(Master_Data!A106,Engagement!A:A,0))</f>
        <v>2</v>
      </c>
      <c r="J106">
        <f>INDEX(Engagement!D:D,MATCH(Master_Data!A106,Engagement!A:A,0))</f>
        <v>1</v>
      </c>
      <c r="K106">
        <f>INDEX(Engagement!E:E,MATCH(Master_Data!A106,Engagement!A:A,0))</f>
        <v>1</v>
      </c>
      <c r="L106" t="str">
        <f>INDEX(Outcomes!B:B,MATCH(Master_Data!A106,Engagement!A:A,0))</f>
        <v>No</v>
      </c>
      <c r="M106" t="str">
        <f>INDEX(Outcomes!C:C,MATCH(Master_Data!A106,Engagement!A:A,0))</f>
        <v>Employed</v>
      </c>
      <c r="N106" t="str">
        <f>INDEX(Outcomes!D:D,MATCH(Master_Data!A106,Engagement!A:A,0))</f>
        <v>Full-Time</v>
      </c>
      <c r="O106" t="str">
        <f>INDEX(Outcomes!E:E,MATCH(Master_Data!A106,Engagement!A:A,0))</f>
        <v>Marketing</v>
      </c>
      <c r="P106">
        <f>INDEX(Outcomes!F:F,MATCH(Master_Data!A106,Engagement!A:A,0))</f>
        <v>64566</v>
      </c>
      <c r="Q106">
        <f>INDEX(Outcomes!G:G,MATCH(Master_Data!A106,Engagement!A:A,0))</f>
        <v>3</v>
      </c>
      <c r="R106">
        <f t="shared" si="3"/>
        <v>7</v>
      </c>
      <c r="S106" t="str">
        <f t="shared" si="4"/>
        <v>Positive Outcome</v>
      </c>
      <c r="T106" t="str">
        <f t="shared" si="5"/>
        <v>Between 50K and 75K</v>
      </c>
    </row>
    <row r="107" spans="1:20" x14ac:dyDescent="0.35">
      <c r="A107" t="s">
        <v>228</v>
      </c>
      <c r="B107" t="str">
        <f>INDEX(Students!B:B,MATCH(Master_Data!A107,Students!A:A,0))</f>
        <v>Quinn Lee</v>
      </c>
      <c r="C107" t="str">
        <f>INDEX(Students!C:C,MATCH(Master_Data!A107,Students!A:A,0))</f>
        <v>Data Science</v>
      </c>
      <c r="D107" t="str">
        <f>INDEX(Students!D:D,MATCH(Master_Data!A107,Students!A:A,0))</f>
        <v>Graduate</v>
      </c>
      <c r="E107">
        <f>INDEX(Students!E:E,MATCH(Master_Data!A107,Students!A:A,0))</f>
        <v>2027</v>
      </c>
      <c r="F107">
        <f>INDEX(Students!F:F,MATCH(Master_Data!A107,Students!A:A,0))</f>
        <v>3.79</v>
      </c>
      <c r="G107" t="str">
        <f>INDEX(Students!G:G,MATCH(Master_Data!A107,Students!A:A,0))</f>
        <v>Yes</v>
      </c>
      <c r="H107">
        <f>INDEX(Engagement!B:B,MATCH(Master_Data!A107,Engagement!A:A,0))</f>
        <v>4</v>
      </c>
      <c r="I107">
        <f>INDEX(Engagement!C:C,MATCH(Master_Data!A107,Engagement!A:A,0))</f>
        <v>3</v>
      </c>
      <c r="J107">
        <f>INDEX(Engagement!D:D,MATCH(Master_Data!A107,Engagement!A:A,0))</f>
        <v>2</v>
      </c>
      <c r="K107">
        <f>INDEX(Engagement!E:E,MATCH(Master_Data!A107,Engagement!A:A,0))</f>
        <v>2</v>
      </c>
      <c r="L107" t="str">
        <f>INDEX(Outcomes!B:B,MATCH(Master_Data!A107,Engagement!A:A,0))</f>
        <v>Yes</v>
      </c>
      <c r="M107" t="str">
        <f>INDEX(Outcomes!C:C,MATCH(Master_Data!A107,Engagement!A:A,0))</f>
        <v>Employed</v>
      </c>
      <c r="N107" t="str">
        <f>INDEX(Outcomes!D:D,MATCH(Master_Data!A107,Engagement!A:A,0))</f>
        <v>Full-Time</v>
      </c>
      <c r="O107" t="str">
        <f>INDEX(Outcomes!E:E,MATCH(Master_Data!A107,Engagement!A:A,0))</f>
        <v>Consulting</v>
      </c>
      <c r="P107">
        <f>INDEX(Outcomes!F:F,MATCH(Master_Data!A107,Engagement!A:A,0))</f>
        <v>80124</v>
      </c>
      <c r="Q107">
        <f>INDEX(Outcomes!G:G,MATCH(Master_Data!A107,Engagement!A:A,0))</f>
        <v>2</v>
      </c>
      <c r="R107">
        <f t="shared" si="3"/>
        <v>11</v>
      </c>
      <c r="S107" t="str">
        <f t="shared" si="4"/>
        <v>Positive Outcome</v>
      </c>
      <c r="T107" t="str">
        <f t="shared" si="5"/>
        <v>Above 75K</v>
      </c>
    </row>
    <row r="108" spans="1:20" x14ac:dyDescent="0.35">
      <c r="A108" t="s">
        <v>230</v>
      </c>
      <c r="B108" t="str">
        <f>INDEX(Students!B:B,MATCH(Master_Data!A108,Students!A:A,0))</f>
        <v>Riley Anderson</v>
      </c>
      <c r="C108" t="str">
        <f>INDEX(Students!C:C,MATCH(Master_Data!A108,Students!A:A,0))</f>
        <v>Data Science</v>
      </c>
      <c r="D108" t="str">
        <f>INDEX(Students!D:D,MATCH(Master_Data!A108,Students!A:A,0))</f>
        <v>Graduate</v>
      </c>
      <c r="E108">
        <f>INDEX(Students!E:E,MATCH(Master_Data!A108,Students!A:A,0))</f>
        <v>2027</v>
      </c>
      <c r="F108">
        <f>INDEX(Students!F:F,MATCH(Master_Data!A108,Students!A:A,0))</f>
        <v>3.33</v>
      </c>
      <c r="G108" t="str">
        <f>INDEX(Students!G:G,MATCH(Master_Data!A108,Students!A:A,0))</f>
        <v>No</v>
      </c>
      <c r="H108">
        <f>INDEX(Engagement!B:B,MATCH(Master_Data!A108,Engagement!A:A,0))</f>
        <v>5</v>
      </c>
      <c r="I108">
        <f>INDEX(Engagement!C:C,MATCH(Master_Data!A108,Engagement!A:A,0))</f>
        <v>1</v>
      </c>
      <c r="J108">
        <f>INDEX(Engagement!D:D,MATCH(Master_Data!A108,Engagement!A:A,0))</f>
        <v>1</v>
      </c>
      <c r="K108">
        <f>INDEX(Engagement!E:E,MATCH(Master_Data!A108,Engagement!A:A,0))</f>
        <v>3</v>
      </c>
      <c r="L108" t="str">
        <f>INDEX(Outcomes!B:B,MATCH(Master_Data!A108,Engagement!A:A,0))</f>
        <v>No</v>
      </c>
      <c r="M108" t="str">
        <f>INDEX(Outcomes!C:C,MATCH(Master_Data!A108,Engagement!A:A,0))</f>
        <v>Employed</v>
      </c>
      <c r="N108" t="str">
        <f>INDEX(Outcomes!D:D,MATCH(Master_Data!A108,Engagement!A:A,0))</f>
        <v>Full-Time</v>
      </c>
      <c r="O108" t="str">
        <f>INDEX(Outcomes!E:E,MATCH(Master_Data!A108,Engagement!A:A,0))</f>
        <v>Consulting</v>
      </c>
      <c r="P108">
        <f>INDEX(Outcomes!F:F,MATCH(Master_Data!A108,Engagement!A:A,0))</f>
        <v>74920</v>
      </c>
      <c r="Q108">
        <f>INDEX(Outcomes!G:G,MATCH(Master_Data!A108,Engagement!A:A,0))</f>
        <v>2</v>
      </c>
      <c r="R108">
        <f t="shared" si="3"/>
        <v>10</v>
      </c>
      <c r="S108" t="str">
        <f t="shared" si="4"/>
        <v>Positive Outcome</v>
      </c>
      <c r="T108" t="str">
        <f t="shared" si="5"/>
        <v>Between 50K and 75K</v>
      </c>
    </row>
    <row r="109" spans="1:20" x14ac:dyDescent="0.35">
      <c r="A109" t="s">
        <v>232</v>
      </c>
      <c r="B109" t="str">
        <f>INDEX(Students!B:B,MATCH(Master_Data!A109,Students!A:A,0))</f>
        <v>Logan Martin</v>
      </c>
      <c r="C109" t="str">
        <f>INDEX(Students!C:C,MATCH(Master_Data!A109,Students!A:A,0))</f>
        <v>Marketing</v>
      </c>
      <c r="D109" t="str">
        <f>INDEX(Students!D:D,MATCH(Master_Data!A109,Students!A:A,0))</f>
        <v>Graduate</v>
      </c>
      <c r="E109">
        <f>INDEX(Students!E:E,MATCH(Master_Data!A109,Students!A:A,0))</f>
        <v>2026</v>
      </c>
      <c r="F109">
        <f>INDEX(Students!F:F,MATCH(Master_Data!A109,Students!A:A,0))</f>
        <v>2.9</v>
      </c>
      <c r="G109" t="str">
        <f>INDEX(Students!G:G,MATCH(Master_Data!A109,Students!A:A,0))</f>
        <v>Yes</v>
      </c>
      <c r="H109">
        <f>INDEX(Engagement!B:B,MATCH(Master_Data!A109,Engagement!A:A,0))</f>
        <v>2</v>
      </c>
      <c r="I109">
        <f>INDEX(Engagement!C:C,MATCH(Master_Data!A109,Engagement!A:A,0))</f>
        <v>3</v>
      </c>
      <c r="J109">
        <f>INDEX(Engagement!D:D,MATCH(Master_Data!A109,Engagement!A:A,0))</f>
        <v>1</v>
      </c>
      <c r="K109">
        <f>INDEX(Engagement!E:E,MATCH(Master_Data!A109,Engagement!A:A,0))</f>
        <v>1</v>
      </c>
      <c r="L109" t="str">
        <f>INDEX(Outcomes!B:B,MATCH(Master_Data!A109,Engagement!A:A,0))</f>
        <v>Yes</v>
      </c>
      <c r="M109" t="str">
        <f>INDEX(Outcomes!C:C,MATCH(Master_Data!A109,Engagement!A:A,0))</f>
        <v>Seeking</v>
      </c>
      <c r="N109" t="str">
        <f>INDEX(Outcomes!D:D,MATCH(Master_Data!A109,Engagement!A:A,0))</f>
        <v>NA</v>
      </c>
      <c r="O109" t="str">
        <f>INDEX(Outcomes!E:E,MATCH(Master_Data!A109,Engagement!A:A,0))</f>
        <v>NA</v>
      </c>
      <c r="P109">
        <f>INDEX(Outcomes!F:F,MATCH(Master_Data!A109,Engagement!A:A,0))</f>
        <v>0</v>
      </c>
      <c r="Q109">
        <f>INDEX(Outcomes!G:G,MATCH(Master_Data!A109,Engagement!A:A,0))</f>
        <v>0</v>
      </c>
      <c r="R109">
        <f t="shared" si="3"/>
        <v>7</v>
      </c>
      <c r="S109" t="str">
        <f t="shared" si="4"/>
        <v>Seeking</v>
      </c>
      <c r="T109" t="str">
        <f t="shared" si="5"/>
        <v>No Salary</v>
      </c>
    </row>
    <row r="110" spans="1:20" x14ac:dyDescent="0.35">
      <c r="A110" t="s">
        <v>234</v>
      </c>
      <c r="B110" t="str">
        <f>INDEX(Students!B:B,MATCH(Master_Data!A110,Students!A:A,0))</f>
        <v>Quinn Thomas</v>
      </c>
      <c r="C110" t="str">
        <f>INDEX(Students!C:C,MATCH(Master_Data!A110,Students!A:A,0))</f>
        <v>Data Science</v>
      </c>
      <c r="D110" t="str">
        <f>INDEX(Students!D:D,MATCH(Master_Data!A110,Students!A:A,0))</f>
        <v>Undergraduate</v>
      </c>
      <c r="E110">
        <f>INDEX(Students!E:E,MATCH(Master_Data!A110,Students!A:A,0))</f>
        <v>2026</v>
      </c>
      <c r="F110">
        <f>INDEX(Students!F:F,MATCH(Master_Data!A110,Students!A:A,0))</f>
        <v>3.61</v>
      </c>
      <c r="G110" t="str">
        <f>INDEX(Students!G:G,MATCH(Master_Data!A110,Students!A:A,0))</f>
        <v>No</v>
      </c>
      <c r="H110">
        <f>INDEX(Engagement!B:B,MATCH(Master_Data!A110,Engagement!A:A,0))</f>
        <v>1</v>
      </c>
      <c r="I110">
        <f>INDEX(Engagement!C:C,MATCH(Master_Data!A110,Engagement!A:A,0))</f>
        <v>3</v>
      </c>
      <c r="J110">
        <f>INDEX(Engagement!D:D,MATCH(Master_Data!A110,Engagement!A:A,0))</f>
        <v>3</v>
      </c>
      <c r="K110">
        <f>INDEX(Engagement!E:E,MATCH(Master_Data!A110,Engagement!A:A,0))</f>
        <v>0</v>
      </c>
      <c r="L110" t="str">
        <f>INDEX(Outcomes!B:B,MATCH(Master_Data!A110,Engagement!A:A,0))</f>
        <v>No</v>
      </c>
      <c r="M110" t="str">
        <f>INDEX(Outcomes!C:C,MATCH(Master_Data!A110,Engagement!A:A,0))</f>
        <v>Employed</v>
      </c>
      <c r="N110" t="str">
        <f>INDEX(Outcomes!D:D,MATCH(Master_Data!A110,Engagement!A:A,0))</f>
        <v>Full-Time</v>
      </c>
      <c r="O110" t="str">
        <f>INDEX(Outcomes!E:E,MATCH(Master_Data!A110,Engagement!A:A,0))</f>
        <v>Consulting</v>
      </c>
      <c r="P110">
        <f>INDEX(Outcomes!F:F,MATCH(Master_Data!A110,Engagement!A:A,0))</f>
        <v>71543</v>
      </c>
      <c r="Q110">
        <f>INDEX(Outcomes!G:G,MATCH(Master_Data!A110,Engagement!A:A,0))</f>
        <v>5</v>
      </c>
      <c r="R110">
        <f t="shared" si="3"/>
        <v>7</v>
      </c>
      <c r="S110" t="str">
        <f t="shared" si="4"/>
        <v>Positive Outcome</v>
      </c>
      <c r="T110" t="str">
        <f t="shared" si="5"/>
        <v>Between 50K and 75K</v>
      </c>
    </row>
    <row r="111" spans="1:20" x14ac:dyDescent="0.35">
      <c r="A111" t="s">
        <v>235</v>
      </c>
      <c r="B111" t="str">
        <f>INDEX(Students!B:B,MATCH(Master_Data!A111,Students!A:A,0))</f>
        <v>Elliot Smith</v>
      </c>
      <c r="C111" t="str">
        <f>INDEX(Students!C:C,MATCH(Master_Data!A111,Students!A:A,0))</f>
        <v>Marketing</v>
      </c>
      <c r="D111" t="str">
        <f>INDEX(Students!D:D,MATCH(Master_Data!A111,Students!A:A,0))</f>
        <v>Graduate</v>
      </c>
      <c r="E111">
        <f>INDEX(Students!E:E,MATCH(Master_Data!A111,Students!A:A,0))</f>
        <v>2026</v>
      </c>
      <c r="F111">
        <f>INDEX(Students!F:F,MATCH(Master_Data!A111,Students!A:A,0))</f>
        <v>2.85</v>
      </c>
      <c r="G111" t="str">
        <f>INDEX(Students!G:G,MATCH(Master_Data!A111,Students!A:A,0))</f>
        <v>No</v>
      </c>
      <c r="H111">
        <f>INDEX(Engagement!B:B,MATCH(Master_Data!A111,Engagement!A:A,0))</f>
        <v>2</v>
      </c>
      <c r="I111">
        <f>INDEX(Engagement!C:C,MATCH(Master_Data!A111,Engagement!A:A,0))</f>
        <v>0</v>
      </c>
      <c r="J111">
        <f>INDEX(Engagement!D:D,MATCH(Master_Data!A111,Engagement!A:A,0))</f>
        <v>1</v>
      </c>
      <c r="K111">
        <f>INDEX(Engagement!E:E,MATCH(Master_Data!A111,Engagement!A:A,0))</f>
        <v>3</v>
      </c>
      <c r="L111" t="str">
        <f>INDEX(Outcomes!B:B,MATCH(Master_Data!A111,Engagement!A:A,0))</f>
        <v>Yes</v>
      </c>
      <c r="M111" t="str">
        <f>INDEX(Outcomes!C:C,MATCH(Master_Data!A111,Engagement!A:A,0))</f>
        <v>Continuing Education</v>
      </c>
      <c r="N111" t="str">
        <f>INDEX(Outcomes!D:D,MATCH(Master_Data!A111,Engagement!A:A,0))</f>
        <v>NA</v>
      </c>
      <c r="O111" t="str">
        <f>INDEX(Outcomes!E:E,MATCH(Master_Data!A111,Engagement!A:A,0))</f>
        <v>NA</v>
      </c>
      <c r="P111">
        <f>INDEX(Outcomes!F:F,MATCH(Master_Data!A111,Engagement!A:A,0))</f>
        <v>0</v>
      </c>
      <c r="Q111">
        <f>INDEX(Outcomes!G:G,MATCH(Master_Data!A111,Engagement!A:A,0))</f>
        <v>0</v>
      </c>
      <c r="R111">
        <f t="shared" si="3"/>
        <v>6</v>
      </c>
      <c r="S111" t="str">
        <f t="shared" si="4"/>
        <v>Further Study</v>
      </c>
      <c r="T111" t="str">
        <f t="shared" si="5"/>
        <v>No Salary</v>
      </c>
    </row>
    <row r="112" spans="1:20" x14ac:dyDescent="0.35">
      <c r="A112" t="s">
        <v>236</v>
      </c>
      <c r="B112" t="str">
        <f>INDEX(Students!B:B,MATCH(Master_Data!A112,Students!A:A,0))</f>
        <v>Emerson Clark</v>
      </c>
      <c r="C112" t="str">
        <f>INDEX(Students!C:C,MATCH(Master_Data!A112,Students!A:A,0))</f>
        <v>Data Science</v>
      </c>
      <c r="D112" t="str">
        <f>INDEX(Students!D:D,MATCH(Master_Data!A112,Students!A:A,0))</f>
        <v>Graduate</v>
      </c>
      <c r="E112">
        <f>INDEX(Students!E:E,MATCH(Master_Data!A112,Students!A:A,0))</f>
        <v>2026</v>
      </c>
      <c r="F112">
        <f>INDEX(Students!F:F,MATCH(Master_Data!A112,Students!A:A,0))</f>
        <v>3.5</v>
      </c>
      <c r="G112" t="str">
        <f>INDEX(Students!G:G,MATCH(Master_Data!A112,Students!A:A,0))</f>
        <v>No</v>
      </c>
      <c r="H112">
        <f>INDEX(Engagement!B:B,MATCH(Master_Data!A112,Engagement!A:A,0))</f>
        <v>4</v>
      </c>
      <c r="I112">
        <f>INDEX(Engagement!C:C,MATCH(Master_Data!A112,Engagement!A:A,0))</f>
        <v>3</v>
      </c>
      <c r="J112">
        <f>INDEX(Engagement!D:D,MATCH(Master_Data!A112,Engagement!A:A,0))</f>
        <v>2</v>
      </c>
      <c r="K112">
        <f>INDEX(Engagement!E:E,MATCH(Master_Data!A112,Engagement!A:A,0))</f>
        <v>1</v>
      </c>
      <c r="L112" t="str">
        <f>INDEX(Outcomes!B:B,MATCH(Master_Data!A112,Engagement!A:A,0))</f>
        <v>Yes</v>
      </c>
      <c r="M112" t="str">
        <f>INDEX(Outcomes!C:C,MATCH(Master_Data!A112,Engagement!A:A,0))</f>
        <v>Continuing Education</v>
      </c>
      <c r="N112" t="str">
        <f>INDEX(Outcomes!D:D,MATCH(Master_Data!A112,Engagement!A:A,0))</f>
        <v>NA</v>
      </c>
      <c r="O112" t="str">
        <f>INDEX(Outcomes!E:E,MATCH(Master_Data!A112,Engagement!A:A,0))</f>
        <v>NA</v>
      </c>
      <c r="P112">
        <f>INDEX(Outcomes!F:F,MATCH(Master_Data!A112,Engagement!A:A,0))</f>
        <v>0</v>
      </c>
      <c r="Q112">
        <f>INDEX(Outcomes!G:G,MATCH(Master_Data!A112,Engagement!A:A,0))</f>
        <v>0</v>
      </c>
      <c r="R112">
        <f t="shared" si="3"/>
        <v>10</v>
      </c>
      <c r="S112" t="str">
        <f t="shared" si="4"/>
        <v>Further Study</v>
      </c>
      <c r="T112" t="str">
        <f t="shared" si="5"/>
        <v>No Salary</v>
      </c>
    </row>
    <row r="113" spans="1:20" x14ac:dyDescent="0.35">
      <c r="A113" t="s">
        <v>238</v>
      </c>
      <c r="B113" t="str">
        <f>INDEX(Students!B:B,MATCH(Master_Data!A113,Students!A:A,0))</f>
        <v>Emerson Brown</v>
      </c>
      <c r="C113" t="str">
        <f>INDEX(Students!C:C,MATCH(Master_Data!A113,Students!A:A,0))</f>
        <v>Economics</v>
      </c>
      <c r="D113" t="str">
        <f>INDEX(Students!D:D,MATCH(Master_Data!A113,Students!A:A,0))</f>
        <v>Undergraduate</v>
      </c>
      <c r="E113">
        <f>INDEX(Students!E:E,MATCH(Master_Data!A113,Students!A:A,0))</f>
        <v>2026</v>
      </c>
      <c r="F113">
        <f>INDEX(Students!F:F,MATCH(Master_Data!A113,Students!A:A,0))</f>
        <v>2.93</v>
      </c>
      <c r="G113" t="str">
        <f>INDEX(Students!G:G,MATCH(Master_Data!A113,Students!A:A,0))</f>
        <v>Yes</v>
      </c>
      <c r="H113">
        <f>INDEX(Engagement!B:B,MATCH(Master_Data!A113,Engagement!A:A,0))</f>
        <v>3</v>
      </c>
      <c r="I113">
        <f>INDEX(Engagement!C:C,MATCH(Master_Data!A113,Engagement!A:A,0))</f>
        <v>1</v>
      </c>
      <c r="J113">
        <f>INDEX(Engagement!D:D,MATCH(Master_Data!A113,Engagement!A:A,0))</f>
        <v>1</v>
      </c>
      <c r="K113">
        <f>INDEX(Engagement!E:E,MATCH(Master_Data!A113,Engagement!A:A,0))</f>
        <v>1</v>
      </c>
      <c r="L113" t="str">
        <f>INDEX(Outcomes!B:B,MATCH(Master_Data!A113,Engagement!A:A,0))</f>
        <v>Yes</v>
      </c>
      <c r="M113" t="str">
        <f>INDEX(Outcomes!C:C,MATCH(Master_Data!A113,Engagement!A:A,0))</f>
        <v>Seeking</v>
      </c>
      <c r="N113" t="str">
        <f>INDEX(Outcomes!D:D,MATCH(Master_Data!A113,Engagement!A:A,0))</f>
        <v>NA</v>
      </c>
      <c r="O113" t="str">
        <f>INDEX(Outcomes!E:E,MATCH(Master_Data!A113,Engagement!A:A,0))</f>
        <v>NA</v>
      </c>
      <c r="P113">
        <f>INDEX(Outcomes!F:F,MATCH(Master_Data!A113,Engagement!A:A,0))</f>
        <v>0</v>
      </c>
      <c r="Q113">
        <f>INDEX(Outcomes!G:G,MATCH(Master_Data!A113,Engagement!A:A,0))</f>
        <v>0</v>
      </c>
      <c r="R113">
        <f t="shared" si="3"/>
        <v>6</v>
      </c>
      <c r="S113" t="str">
        <f t="shared" si="4"/>
        <v>Seeking</v>
      </c>
      <c r="T113" t="str">
        <f t="shared" si="5"/>
        <v>No Salary</v>
      </c>
    </row>
    <row r="114" spans="1:20" x14ac:dyDescent="0.35">
      <c r="A114" t="s">
        <v>240</v>
      </c>
      <c r="B114" t="str">
        <f>INDEX(Students!B:B,MATCH(Master_Data!A114,Students!A:A,0))</f>
        <v>Quinn Harris</v>
      </c>
      <c r="C114" t="str">
        <f>INDEX(Students!C:C,MATCH(Master_Data!A114,Students!A:A,0))</f>
        <v>Computer Science</v>
      </c>
      <c r="D114" t="str">
        <f>INDEX(Students!D:D,MATCH(Master_Data!A114,Students!A:A,0))</f>
        <v>Graduate</v>
      </c>
      <c r="E114">
        <f>INDEX(Students!E:E,MATCH(Master_Data!A114,Students!A:A,0))</f>
        <v>2027</v>
      </c>
      <c r="F114">
        <f>INDEX(Students!F:F,MATCH(Master_Data!A114,Students!A:A,0))</f>
        <v>3.46</v>
      </c>
      <c r="G114" t="str">
        <f>INDEX(Students!G:G,MATCH(Master_Data!A114,Students!A:A,0))</f>
        <v>No</v>
      </c>
      <c r="H114">
        <f>INDEX(Engagement!B:B,MATCH(Master_Data!A114,Engagement!A:A,0))</f>
        <v>6</v>
      </c>
      <c r="I114">
        <f>INDEX(Engagement!C:C,MATCH(Master_Data!A114,Engagement!A:A,0))</f>
        <v>3</v>
      </c>
      <c r="J114">
        <f>INDEX(Engagement!D:D,MATCH(Master_Data!A114,Engagement!A:A,0))</f>
        <v>2</v>
      </c>
      <c r="K114">
        <f>INDEX(Engagement!E:E,MATCH(Master_Data!A114,Engagement!A:A,0))</f>
        <v>2</v>
      </c>
      <c r="L114" t="str">
        <f>INDEX(Outcomes!B:B,MATCH(Master_Data!A114,Engagement!A:A,0))</f>
        <v>Yes</v>
      </c>
      <c r="M114" t="str">
        <f>INDEX(Outcomes!C:C,MATCH(Master_Data!A114,Engagement!A:A,0))</f>
        <v>Employed</v>
      </c>
      <c r="N114" t="str">
        <f>INDEX(Outcomes!D:D,MATCH(Master_Data!A114,Engagement!A:A,0))</f>
        <v>Full-Time</v>
      </c>
      <c r="O114" t="str">
        <f>INDEX(Outcomes!E:E,MATCH(Master_Data!A114,Engagement!A:A,0))</f>
        <v>Education</v>
      </c>
      <c r="P114">
        <f>INDEX(Outcomes!F:F,MATCH(Master_Data!A114,Engagement!A:A,0))</f>
        <v>56525</v>
      </c>
      <c r="Q114">
        <f>INDEX(Outcomes!G:G,MATCH(Master_Data!A114,Engagement!A:A,0))</f>
        <v>2</v>
      </c>
      <c r="R114">
        <f t="shared" si="3"/>
        <v>13</v>
      </c>
      <c r="S114" t="str">
        <f t="shared" si="4"/>
        <v>Positive Outcome</v>
      </c>
      <c r="T114" t="str">
        <f t="shared" si="5"/>
        <v>Between 50K and 75K</v>
      </c>
    </row>
    <row r="115" spans="1:20" x14ac:dyDescent="0.35">
      <c r="A115" t="s">
        <v>242</v>
      </c>
      <c r="B115" t="str">
        <f>INDEX(Students!B:B,MATCH(Master_Data!A115,Students!A:A,0))</f>
        <v>Skyler Wilson</v>
      </c>
      <c r="C115" t="str">
        <f>INDEX(Students!C:C,MATCH(Master_Data!A115,Students!A:A,0))</f>
        <v>Computer Science</v>
      </c>
      <c r="D115" t="str">
        <f>INDEX(Students!D:D,MATCH(Master_Data!A115,Students!A:A,0))</f>
        <v>Graduate</v>
      </c>
      <c r="E115">
        <f>INDEX(Students!E:E,MATCH(Master_Data!A115,Students!A:A,0))</f>
        <v>2026</v>
      </c>
      <c r="F115">
        <f>INDEX(Students!F:F,MATCH(Master_Data!A115,Students!A:A,0))</f>
        <v>3.42</v>
      </c>
      <c r="G115" t="str">
        <f>INDEX(Students!G:G,MATCH(Master_Data!A115,Students!A:A,0))</f>
        <v>No</v>
      </c>
      <c r="H115">
        <f>INDEX(Engagement!B:B,MATCH(Master_Data!A115,Engagement!A:A,0))</f>
        <v>2</v>
      </c>
      <c r="I115">
        <f>INDEX(Engagement!C:C,MATCH(Master_Data!A115,Engagement!A:A,0))</f>
        <v>0</v>
      </c>
      <c r="J115">
        <f>INDEX(Engagement!D:D,MATCH(Master_Data!A115,Engagement!A:A,0))</f>
        <v>3</v>
      </c>
      <c r="K115">
        <f>INDEX(Engagement!E:E,MATCH(Master_Data!A115,Engagement!A:A,0))</f>
        <v>2</v>
      </c>
      <c r="L115" t="str">
        <f>INDEX(Outcomes!B:B,MATCH(Master_Data!A115,Engagement!A:A,0))</f>
        <v>Yes</v>
      </c>
      <c r="M115" t="str">
        <f>INDEX(Outcomes!C:C,MATCH(Master_Data!A115,Engagement!A:A,0))</f>
        <v>Continuing Education</v>
      </c>
      <c r="N115" t="str">
        <f>INDEX(Outcomes!D:D,MATCH(Master_Data!A115,Engagement!A:A,0))</f>
        <v>NA</v>
      </c>
      <c r="O115" t="str">
        <f>INDEX(Outcomes!E:E,MATCH(Master_Data!A115,Engagement!A:A,0))</f>
        <v>NA</v>
      </c>
      <c r="P115">
        <f>INDEX(Outcomes!F:F,MATCH(Master_Data!A115,Engagement!A:A,0))</f>
        <v>0</v>
      </c>
      <c r="Q115">
        <f>INDEX(Outcomes!G:G,MATCH(Master_Data!A115,Engagement!A:A,0))</f>
        <v>0</v>
      </c>
      <c r="R115">
        <f t="shared" si="3"/>
        <v>7</v>
      </c>
      <c r="S115" t="str">
        <f t="shared" si="4"/>
        <v>Further Study</v>
      </c>
      <c r="T115" t="str">
        <f t="shared" si="5"/>
        <v>No Salary</v>
      </c>
    </row>
    <row r="116" spans="1:20" x14ac:dyDescent="0.35">
      <c r="A116" t="s">
        <v>243</v>
      </c>
      <c r="B116" t="str">
        <f>INDEX(Students!B:B,MATCH(Master_Data!A116,Students!A:A,0))</f>
        <v>Rowan White</v>
      </c>
      <c r="C116" t="str">
        <f>INDEX(Students!C:C,MATCH(Master_Data!A116,Students!A:A,0))</f>
        <v>Computer Science</v>
      </c>
      <c r="D116" t="str">
        <f>INDEX(Students!D:D,MATCH(Master_Data!A116,Students!A:A,0))</f>
        <v>Undergraduate</v>
      </c>
      <c r="E116">
        <f>INDEX(Students!E:E,MATCH(Master_Data!A116,Students!A:A,0))</f>
        <v>2026</v>
      </c>
      <c r="F116">
        <f>INDEX(Students!F:F,MATCH(Master_Data!A116,Students!A:A,0))</f>
        <v>3.71</v>
      </c>
      <c r="G116" t="str">
        <f>INDEX(Students!G:G,MATCH(Master_Data!A116,Students!A:A,0))</f>
        <v>No</v>
      </c>
      <c r="H116">
        <f>INDEX(Engagement!B:B,MATCH(Master_Data!A116,Engagement!A:A,0))</f>
        <v>6</v>
      </c>
      <c r="I116">
        <f>INDEX(Engagement!C:C,MATCH(Master_Data!A116,Engagement!A:A,0))</f>
        <v>1</v>
      </c>
      <c r="J116">
        <f>INDEX(Engagement!D:D,MATCH(Master_Data!A116,Engagement!A:A,0))</f>
        <v>2</v>
      </c>
      <c r="K116">
        <f>INDEX(Engagement!E:E,MATCH(Master_Data!A116,Engagement!A:A,0))</f>
        <v>2</v>
      </c>
      <c r="L116" t="str">
        <f>INDEX(Outcomes!B:B,MATCH(Master_Data!A116,Engagement!A:A,0))</f>
        <v>Yes</v>
      </c>
      <c r="M116" t="str">
        <f>INDEX(Outcomes!C:C,MATCH(Master_Data!A116,Engagement!A:A,0))</f>
        <v>Continuing Education</v>
      </c>
      <c r="N116" t="str">
        <f>INDEX(Outcomes!D:D,MATCH(Master_Data!A116,Engagement!A:A,0))</f>
        <v>NA</v>
      </c>
      <c r="O116" t="str">
        <f>INDEX(Outcomes!E:E,MATCH(Master_Data!A116,Engagement!A:A,0))</f>
        <v>NA</v>
      </c>
      <c r="P116">
        <f>INDEX(Outcomes!F:F,MATCH(Master_Data!A116,Engagement!A:A,0))</f>
        <v>0</v>
      </c>
      <c r="Q116">
        <f>INDEX(Outcomes!G:G,MATCH(Master_Data!A116,Engagement!A:A,0))</f>
        <v>0</v>
      </c>
      <c r="R116">
        <f t="shared" si="3"/>
        <v>11</v>
      </c>
      <c r="S116" t="str">
        <f t="shared" si="4"/>
        <v>Further Study</v>
      </c>
      <c r="T116" t="str">
        <f t="shared" si="5"/>
        <v>No Salary</v>
      </c>
    </row>
    <row r="117" spans="1:20" x14ac:dyDescent="0.35">
      <c r="A117" t="s">
        <v>245</v>
      </c>
      <c r="B117" t="str">
        <f>INDEX(Students!B:B,MATCH(Master_Data!A117,Students!A:A,0))</f>
        <v>Jordan Miller</v>
      </c>
      <c r="C117" t="str">
        <f>INDEX(Students!C:C,MATCH(Master_Data!A117,Students!A:A,0))</f>
        <v>Computer Science</v>
      </c>
      <c r="D117" t="str">
        <f>INDEX(Students!D:D,MATCH(Master_Data!A117,Students!A:A,0))</f>
        <v>Undergraduate</v>
      </c>
      <c r="E117">
        <f>INDEX(Students!E:E,MATCH(Master_Data!A117,Students!A:A,0))</f>
        <v>2026</v>
      </c>
      <c r="F117">
        <f>INDEX(Students!F:F,MATCH(Master_Data!A117,Students!A:A,0))</f>
        <v>3.86</v>
      </c>
      <c r="G117" t="str">
        <f>INDEX(Students!G:G,MATCH(Master_Data!A117,Students!A:A,0))</f>
        <v>No</v>
      </c>
      <c r="H117">
        <f>INDEX(Engagement!B:B,MATCH(Master_Data!A117,Engagement!A:A,0))</f>
        <v>5</v>
      </c>
      <c r="I117">
        <f>INDEX(Engagement!C:C,MATCH(Master_Data!A117,Engagement!A:A,0))</f>
        <v>2</v>
      </c>
      <c r="J117">
        <f>INDEX(Engagement!D:D,MATCH(Master_Data!A117,Engagement!A:A,0))</f>
        <v>0</v>
      </c>
      <c r="K117">
        <f>INDEX(Engagement!E:E,MATCH(Master_Data!A117,Engagement!A:A,0))</f>
        <v>1</v>
      </c>
      <c r="L117" t="str">
        <f>INDEX(Outcomes!B:B,MATCH(Master_Data!A117,Engagement!A:A,0))</f>
        <v>No</v>
      </c>
      <c r="M117" t="str">
        <f>INDEX(Outcomes!C:C,MATCH(Master_Data!A117,Engagement!A:A,0))</f>
        <v>Seeking</v>
      </c>
      <c r="N117" t="str">
        <f>INDEX(Outcomes!D:D,MATCH(Master_Data!A117,Engagement!A:A,0))</f>
        <v>NA</v>
      </c>
      <c r="O117" t="str">
        <f>INDEX(Outcomes!E:E,MATCH(Master_Data!A117,Engagement!A:A,0))</f>
        <v>NA</v>
      </c>
      <c r="P117">
        <f>INDEX(Outcomes!F:F,MATCH(Master_Data!A117,Engagement!A:A,0))</f>
        <v>0</v>
      </c>
      <c r="Q117">
        <f>INDEX(Outcomes!G:G,MATCH(Master_Data!A117,Engagement!A:A,0))</f>
        <v>0</v>
      </c>
      <c r="R117">
        <f t="shared" si="3"/>
        <v>8</v>
      </c>
      <c r="S117" t="str">
        <f t="shared" si="4"/>
        <v>Seeking</v>
      </c>
      <c r="T117" t="str">
        <f t="shared" si="5"/>
        <v>No Salary</v>
      </c>
    </row>
    <row r="118" spans="1:20" x14ac:dyDescent="0.35">
      <c r="A118" t="s">
        <v>247</v>
      </c>
      <c r="B118" t="str">
        <f>INDEX(Students!B:B,MATCH(Master_Data!A118,Students!A:A,0))</f>
        <v>Alex Hall</v>
      </c>
      <c r="C118" t="str">
        <f>INDEX(Students!C:C,MATCH(Master_Data!A118,Students!A:A,0))</f>
        <v>Finance</v>
      </c>
      <c r="D118" t="str">
        <f>INDEX(Students!D:D,MATCH(Master_Data!A118,Students!A:A,0))</f>
        <v>Graduate</v>
      </c>
      <c r="E118">
        <f>INDEX(Students!E:E,MATCH(Master_Data!A118,Students!A:A,0))</f>
        <v>2026</v>
      </c>
      <c r="F118">
        <f>INDEX(Students!F:F,MATCH(Master_Data!A118,Students!A:A,0))</f>
        <v>2.82</v>
      </c>
      <c r="G118" t="str">
        <f>INDEX(Students!G:G,MATCH(Master_Data!A118,Students!A:A,0))</f>
        <v>No</v>
      </c>
      <c r="H118">
        <f>INDEX(Engagement!B:B,MATCH(Master_Data!A118,Engagement!A:A,0))</f>
        <v>4</v>
      </c>
      <c r="I118">
        <f>INDEX(Engagement!C:C,MATCH(Master_Data!A118,Engagement!A:A,0))</f>
        <v>2</v>
      </c>
      <c r="J118">
        <f>INDEX(Engagement!D:D,MATCH(Master_Data!A118,Engagement!A:A,0))</f>
        <v>1</v>
      </c>
      <c r="K118">
        <f>INDEX(Engagement!E:E,MATCH(Master_Data!A118,Engagement!A:A,0))</f>
        <v>2</v>
      </c>
      <c r="L118" t="str">
        <f>INDEX(Outcomes!B:B,MATCH(Master_Data!A118,Engagement!A:A,0))</f>
        <v>No</v>
      </c>
      <c r="M118" t="str">
        <f>INDEX(Outcomes!C:C,MATCH(Master_Data!A118,Engagement!A:A,0))</f>
        <v>Employed</v>
      </c>
      <c r="N118" t="str">
        <f>INDEX(Outcomes!D:D,MATCH(Master_Data!A118,Engagement!A:A,0))</f>
        <v>Part-Time</v>
      </c>
      <c r="O118" t="str">
        <f>INDEX(Outcomes!E:E,MATCH(Master_Data!A118,Engagement!A:A,0))</f>
        <v>Consulting</v>
      </c>
      <c r="P118">
        <f>INDEX(Outcomes!F:F,MATCH(Master_Data!A118,Engagement!A:A,0))</f>
        <v>40092</v>
      </c>
      <c r="Q118">
        <f>INDEX(Outcomes!G:G,MATCH(Master_Data!A118,Engagement!A:A,0))</f>
        <v>5</v>
      </c>
      <c r="R118">
        <f t="shared" si="3"/>
        <v>9</v>
      </c>
      <c r="S118" t="str">
        <f t="shared" si="4"/>
        <v>Positive Outcome</v>
      </c>
      <c r="T118" t="str">
        <f t="shared" si="5"/>
        <v>Below 50K</v>
      </c>
    </row>
    <row r="119" spans="1:20" x14ac:dyDescent="0.35">
      <c r="A119" t="s">
        <v>249</v>
      </c>
      <c r="B119" t="str">
        <f>INDEX(Students!B:B,MATCH(Master_Data!A119,Students!A:A,0))</f>
        <v>Cameron Lee</v>
      </c>
      <c r="C119" t="str">
        <f>INDEX(Students!C:C,MATCH(Master_Data!A119,Students!A:A,0))</f>
        <v>Economics</v>
      </c>
      <c r="D119" t="str">
        <f>INDEX(Students!D:D,MATCH(Master_Data!A119,Students!A:A,0))</f>
        <v>Undergraduate</v>
      </c>
      <c r="E119">
        <f>INDEX(Students!E:E,MATCH(Master_Data!A119,Students!A:A,0))</f>
        <v>2027</v>
      </c>
      <c r="F119">
        <f>INDEX(Students!F:F,MATCH(Master_Data!A119,Students!A:A,0))</f>
        <v>3.4</v>
      </c>
      <c r="G119" t="str">
        <f>INDEX(Students!G:G,MATCH(Master_Data!A119,Students!A:A,0))</f>
        <v>No</v>
      </c>
      <c r="H119">
        <f>INDEX(Engagement!B:B,MATCH(Master_Data!A119,Engagement!A:A,0))</f>
        <v>4</v>
      </c>
      <c r="I119">
        <f>INDEX(Engagement!C:C,MATCH(Master_Data!A119,Engagement!A:A,0))</f>
        <v>2</v>
      </c>
      <c r="J119">
        <f>INDEX(Engagement!D:D,MATCH(Master_Data!A119,Engagement!A:A,0))</f>
        <v>0</v>
      </c>
      <c r="K119">
        <f>INDEX(Engagement!E:E,MATCH(Master_Data!A119,Engagement!A:A,0))</f>
        <v>2</v>
      </c>
      <c r="L119" t="str">
        <f>INDEX(Outcomes!B:B,MATCH(Master_Data!A119,Engagement!A:A,0))</f>
        <v>Yes</v>
      </c>
      <c r="M119" t="str">
        <f>INDEX(Outcomes!C:C,MATCH(Master_Data!A119,Engagement!A:A,0))</f>
        <v>Continuing Education</v>
      </c>
      <c r="N119" t="str">
        <f>INDEX(Outcomes!D:D,MATCH(Master_Data!A119,Engagement!A:A,0))</f>
        <v>NA</v>
      </c>
      <c r="O119" t="str">
        <f>INDEX(Outcomes!E:E,MATCH(Master_Data!A119,Engagement!A:A,0))</f>
        <v>NA</v>
      </c>
      <c r="P119">
        <f>INDEX(Outcomes!F:F,MATCH(Master_Data!A119,Engagement!A:A,0))</f>
        <v>0</v>
      </c>
      <c r="Q119">
        <f>INDEX(Outcomes!G:G,MATCH(Master_Data!A119,Engagement!A:A,0))</f>
        <v>0</v>
      </c>
      <c r="R119">
        <f t="shared" si="3"/>
        <v>8</v>
      </c>
      <c r="S119" t="str">
        <f t="shared" si="4"/>
        <v>Further Study</v>
      </c>
      <c r="T119" t="str">
        <f t="shared" si="5"/>
        <v>No Salary</v>
      </c>
    </row>
    <row r="120" spans="1:20" x14ac:dyDescent="0.35">
      <c r="A120" t="s">
        <v>250</v>
      </c>
      <c r="B120" t="str">
        <f>INDEX(Students!B:B,MATCH(Master_Data!A120,Students!A:A,0))</f>
        <v>Blake Wilson</v>
      </c>
      <c r="C120" t="str">
        <f>INDEX(Students!C:C,MATCH(Master_Data!A120,Students!A:A,0))</f>
        <v>Computer Science</v>
      </c>
      <c r="D120" t="str">
        <f>INDEX(Students!D:D,MATCH(Master_Data!A120,Students!A:A,0))</f>
        <v>Graduate</v>
      </c>
      <c r="E120">
        <f>INDEX(Students!E:E,MATCH(Master_Data!A120,Students!A:A,0))</f>
        <v>2026</v>
      </c>
      <c r="F120">
        <f>INDEX(Students!F:F,MATCH(Master_Data!A120,Students!A:A,0))</f>
        <v>3.35</v>
      </c>
      <c r="G120" t="str">
        <f>INDEX(Students!G:G,MATCH(Master_Data!A120,Students!A:A,0))</f>
        <v>Yes</v>
      </c>
      <c r="H120">
        <f>INDEX(Engagement!B:B,MATCH(Master_Data!A120,Engagement!A:A,0))</f>
        <v>2</v>
      </c>
      <c r="I120">
        <f>INDEX(Engagement!C:C,MATCH(Master_Data!A120,Engagement!A:A,0))</f>
        <v>0</v>
      </c>
      <c r="J120">
        <f>INDEX(Engagement!D:D,MATCH(Master_Data!A120,Engagement!A:A,0))</f>
        <v>2</v>
      </c>
      <c r="K120">
        <f>INDEX(Engagement!E:E,MATCH(Master_Data!A120,Engagement!A:A,0))</f>
        <v>2</v>
      </c>
      <c r="L120" t="str">
        <f>INDEX(Outcomes!B:B,MATCH(Master_Data!A120,Engagement!A:A,0))</f>
        <v>Yes</v>
      </c>
      <c r="M120" t="str">
        <f>INDEX(Outcomes!C:C,MATCH(Master_Data!A120,Engagement!A:A,0))</f>
        <v>Continuing Education</v>
      </c>
      <c r="N120" t="str">
        <f>INDEX(Outcomes!D:D,MATCH(Master_Data!A120,Engagement!A:A,0))</f>
        <v>NA</v>
      </c>
      <c r="O120" t="str">
        <f>INDEX(Outcomes!E:E,MATCH(Master_Data!A120,Engagement!A:A,0))</f>
        <v>NA</v>
      </c>
      <c r="P120">
        <f>INDEX(Outcomes!F:F,MATCH(Master_Data!A120,Engagement!A:A,0))</f>
        <v>0</v>
      </c>
      <c r="Q120">
        <f>INDEX(Outcomes!G:G,MATCH(Master_Data!A120,Engagement!A:A,0))</f>
        <v>0</v>
      </c>
      <c r="R120">
        <f t="shared" si="3"/>
        <v>6</v>
      </c>
      <c r="S120" t="str">
        <f t="shared" si="4"/>
        <v>Further Study</v>
      </c>
      <c r="T120" t="str">
        <f t="shared" si="5"/>
        <v>No Salary</v>
      </c>
    </row>
    <row r="121" spans="1:20" x14ac:dyDescent="0.35">
      <c r="A121" t="s">
        <v>252</v>
      </c>
      <c r="B121" t="str">
        <f>INDEX(Students!B:B,MATCH(Master_Data!A121,Students!A:A,0))</f>
        <v>Avery Hall</v>
      </c>
      <c r="C121" t="str">
        <f>INDEX(Students!C:C,MATCH(Master_Data!A121,Students!A:A,0))</f>
        <v>Economics</v>
      </c>
      <c r="D121" t="str">
        <f>INDEX(Students!D:D,MATCH(Master_Data!A121,Students!A:A,0))</f>
        <v>Graduate</v>
      </c>
      <c r="E121">
        <f>INDEX(Students!E:E,MATCH(Master_Data!A121,Students!A:A,0))</f>
        <v>2027</v>
      </c>
      <c r="F121">
        <f>INDEX(Students!F:F,MATCH(Master_Data!A121,Students!A:A,0))</f>
        <v>3.13</v>
      </c>
      <c r="G121" t="str">
        <f>INDEX(Students!G:G,MATCH(Master_Data!A121,Students!A:A,0))</f>
        <v>No</v>
      </c>
      <c r="H121">
        <f>INDEX(Engagement!B:B,MATCH(Master_Data!A121,Engagement!A:A,0))</f>
        <v>4</v>
      </c>
      <c r="I121">
        <f>INDEX(Engagement!C:C,MATCH(Master_Data!A121,Engagement!A:A,0))</f>
        <v>3</v>
      </c>
      <c r="J121">
        <f>INDEX(Engagement!D:D,MATCH(Master_Data!A121,Engagement!A:A,0))</f>
        <v>0</v>
      </c>
      <c r="K121">
        <f>INDEX(Engagement!E:E,MATCH(Master_Data!A121,Engagement!A:A,0))</f>
        <v>1</v>
      </c>
      <c r="L121" t="str">
        <f>INDEX(Outcomes!B:B,MATCH(Master_Data!A121,Engagement!A:A,0))</f>
        <v>Yes</v>
      </c>
      <c r="M121" t="str">
        <f>INDEX(Outcomes!C:C,MATCH(Master_Data!A121,Engagement!A:A,0))</f>
        <v>Employed</v>
      </c>
      <c r="N121" t="str">
        <f>INDEX(Outcomes!D:D,MATCH(Master_Data!A121,Engagement!A:A,0))</f>
        <v>Full-Time</v>
      </c>
      <c r="O121" t="str">
        <f>INDEX(Outcomes!E:E,MATCH(Master_Data!A121,Engagement!A:A,0))</f>
        <v>Marketing</v>
      </c>
      <c r="P121">
        <f>INDEX(Outcomes!F:F,MATCH(Master_Data!A121,Engagement!A:A,0))</f>
        <v>61332</v>
      </c>
      <c r="Q121">
        <f>INDEX(Outcomes!G:G,MATCH(Master_Data!A121,Engagement!A:A,0))</f>
        <v>2</v>
      </c>
      <c r="R121">
        <f t="shared" si="3"/>
        <v>8</v>
      </c>
      <c r="S121" t="str">
        <f t="shared" si="4"/>
        <v>Positive Outcome</v>
      </c>
      <c r="T121" t="str">
        <f t="shared" si="5"/>
        <v>Between 50K and 75K</v>
      </c>
    </row>
  </sheetData>
  <phoneticPr fontId="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1B75A-EE07-4EC4-ACBC-5141717CD5FA}">
  <dimension ref="A1:L36"/>
  <sheetViews>
    <sheetView workbookViewId="0">
      <selection activeCell="H12" sqref="H12"/>
    </sheetView>
  </sheetViews>
  <sheetFormatPr defaultRowHeight="14.5" x14ac:dyDescent="0.35"/>
  <cols>
    <col min="1" max="2" width="15.90625" bestFit="1" customWidth="1"/>
    <col min="3" max="3" width="15.26953125" bestFit="1" customWidth="1"/>
    <col min="4" max="4" width="7.1796875" bestFit="1" customWidth="1"/>
    <col min="5" max="5" width="18.7265625" bestFit="1" customWidth="1"/>
    <col min="6" max="6" width="13.08984375" bestFit="1" customWidth="1"/>
    <col min="7" max="7" width="12.36328125" bestFit="1" customWidth="1"/>
    <col min="8" max="8" width="25.08984375" bestFit="1" customWidth="1"/>
    <col min="9" max="9" width="12.26953125" bestFit="1" customWidth="1"/>
    <col min="10" max="10" width="15.6328125" bestFit="1" customWidth="1"/>
    <col min="11" max="11" width="7.1796875" bestFit="1" customWidth="1"/>
    <col min="12" max="13" width="10.7265625" bestFit="1" customWidth="1"/>
  </cols>
  <sheetData>
    <row r="1" spans="1:11" ht="21" x14ac:dyDescent="0.5">
      <c r="A1" s="16" t="s">
        <v>277</v>
      </c>
      <c r="B1" s="17"/>
      <c r="C1" s="17"/>
      <c r="D1" s="17"/>
      <c r="E1" s="17"/>
      <c r="F1" s="17"/>
      <c r="G1" s="17"/>
      <c r="H1" s="17"/>
    </row>
    <row r="3" spans="1:11" x14ac:dyDescent="0.35">
      <c r="A3" s="11" t="s">
        <v>278</v>
      </c>
      <c r="B3" s="11" t="s">
        <v>279</v>
      </c>
      <c r="E3" s="7" t="s">
        <v>289</v>
      </c>
      <c r="F3" t="s">
        <v>280</v>
      </c>
      <c r="G3" t="s">
        <v>293</v>
      </c>
    </row>
    <row r="4" spans="1:11" x14ac:dyDescent="0.35">
      <c r="A4" s="2" t="s">
        <v>280</v>
      </c>
      <c r="B4" s="2">
        <f>COUNTA(Master_Data!A2:A121)</f>
        <v>120</v>
      </c>
      <c r="E4" s="8" t="s">
        <v>273</v>
      </c>
      <c r="F4" s="50">
        <v>5</v>
      </c>
      <c r="G4" s="9">
        <v>7.0422535211267609E-2</v>
      </c>
    </row>
    <row r="5" spans="1:11" x14ac:dyDescent="0.35">
      <c r="A5" s="2" t="s">
        <v>281</v>
      </c>
      <c r="B5" s="3">
        <f>COUNTIF(Master_Data!$M$2:$M$121,"Employed")/COUNTA(Master_Data!$A$2:$A$121)</f>
        <v>0.67500000000000004</v>
      </c>
      <c r="E5" s="8" t="s">
        <v>264</v>
      </c>
      <c r="F5" s="50">
        <v>43</v>
      </c>
      <c r="G5" s="9">
        <v>0.60563380281690138</v>
      </c>
    </row>
    <row r="6" spans="1:11" x14ac:dyDescent="0.35">
      <c r="A6" s="2" t="s">
        <v>282</v>
      </c>
      <c r="B6" s="3">
        <f>COUNTIF(Master_Data!$L$2:$L$121,"Yes")/COUNTA(Master_Data!$A$2:$A$121)</f>
        <v>0.72499999999999998</v>
      </c>
      <c r="E6" s="8" t="s">
        <v>266</v>
      </c>
      <c r="F6" s="50">
        <v>23</v>
      </c>
      <c r="G6" s="9">
        <v>0.323943661971831</v>
      </c>
    </row>
    <row r="7" spans="1:11" x14ac:dyDescent="0.35">
      <c r="A7" s="2" t="s">
        <v>283</v>
      </c>
      <c r="B7" s="4">
        <f>AVERAGEIF(Master_Data!P:P,"&gt;0")</f>
        <v>58128.654320987655</v>
      </c>
      <c r="E7" s="8" t="s">
        <v>290</v>
      </c>
      <c r="F7" s="50">
        <v>71</v>
      </c>
      <c r="G7" s="9">
        <v>1</v>
      </c>
      <c r="I7" s="7" t="s">
        <v>301</v>
      </c>
      <c r="J7" t="s">
        <v>294</v>
      </c>
      <c r="K7" t="s">
        <v>293</v>
      </c>
    </row>
    <row r="8" spans="1:11" x14ac:dyDescent="0.35">
      <c r="A8" s="2" t="s">
        <v>284</v>
      </c>
      <c r="B8" s="5">
        <f>AVERAGE(Master_Data!$R$2:$R$121)</f>
        <v>7.9416666666666664</v>
      </c>
      <c r="E8" s="15" t="s">
        <v>285</v>
      </c>
      <c r="F8" s="15"/>
      <c r="G8" s="15"/>
      <c r="I8" s="8" t="s">
        <v>274</v>
      </c>
      <c r="J8" s="50">
        <v>10</v>
      </c>
      <c r="K8" s="9">
        <v>0.14084507042253522</v>
      </c>
    </row>
    <row r="9" spans="1:11" x14ac:dyDescent="0.35">
      <c r="I9" s="8" t="s">
        <v>270</v>
      </c>
      <c r="J9" s="50">
        <v>2</v>
      </c>
      <c r="K9" s="9">
        <v>2.8169014084507043E-2</v>
      </c>
    </row>
    <row r="10" spans="1:11" x14ac:dyDescent="0.35">
      <c r="I10" s="8" t="s">
        <v>20</v>
      </c>
      <c r="J10" s="50">
        <v>11</v>
      </c>
      <c r="K10" s="9">
        <v>0.15492957746478872</v>
      </c>
    </row>
    <row r="11" spans="1:11" x14ac:dyDescent="0.35">
      <c r="I11" s="8" t="s">
        <v>271</v>
      </c>
      <c r="J11" s="50">
        <v>4</v>
      </c>
      <c r="K11" s="9">
        <v>5.6338028169014086E-2</v>
      </c>
    </row>
    <row r="12" spans="1:11" x14ac:dyDescent="0.35">
      <c r="I12" s="8" t="s">
        <v>37</v>
      </c>
      <c r="J12" s="50">
        <v>5</v>
      </c>
      <c r="K12" s="9">
        <v>7.0422535211267609E-2</v>
      </c>
    </row>
    <row r="13" spans="1:11" x14ac:dyDescent="0.35">
      <c r="I13" s="8" t="s">
        <v>267</v>
      </c>
      <c r="J13" s="50">
        <v>28</v>
      </c>
      <c r="K13" s="9">
        <v>0.39436619718309857</v>
      </c>
    </row>
    <row r="14" spans="1:11" x14ac:dyDescent="0.35">
      <c r="A14" s="7" t="s">
        <v>294</v>
      </c>
      <c r="B14" s="7" t="s">
        <v>295</v>
      </c>
      <c r="I14" s="8" t="s">
        <v>275</v>
      </c>
      <c r="J14" s="50">
        <v>4</v>
      </c>
      <c r="K14" s="9">
        <v>5.6338028169014086E-2</v>
      </c>
    </row>
    <row r="15" spans="1:11" x14ac:dyDescent="0.35">
      <c r="A15" s="7" t="s">
        <v>301</v>
      </c>
      <c r="B15" t="s">
        <v>273</v>
      </c>
      <c r="C15" t="s">
        <v>264</v>
      </c>
      <c r="D15" t="s">
        <v>266</v>
      </c>
      <c r="E15" t="s">
        <v>290</v>
      </c>
      <c r="I15" s="8" t="s">
        <v>268</v>
      </c>
      <c r="J15" s="50">
        <v>7</v>
      </c>
      <c r="K15" s="9">
        <v>9.8591549295774641E-2</v>
      </c>
    </row>
    <row r="16" spans="1:11" x14ac:dyDescent="0.35">
      <c r="A16" s="8" t="s">
        <v>34</v>
      </c>
      <c r="B16" s="50">
        <v>1</v>
      </c>
      <c r="C16" s="50">
        <v>15</v>
      </c>
      <c r="D16" s="50">
        <v>4</v>
      </c>
      <c r="E16" s="50">
        <v>20</v>
      </c>
      <c r="I16" s="8" t="s">
        <v>290</v>
      </c>
      <c r="J16" s="50">
        <v>71</v>
      </c>
      <c r="K16" s="9">
        <v>1</v>
      </c>
    </row>
    <row r="17" spans="1:12" x14ac:dyDescent="0.35">
      <c r="A17" s="8" t="s">
        <v>55</v>
      </c>
      <c r="B17" s="50">
        <v>3</v>
      </c>
      <c r="C17" s="50">
        <v>10</v>
      </c>
      <c r="D17" s="50">
        <v>4</v>
      </c>
      <c r="E17" s="50">
        <v>17</v>
      </c>
      <c r="I17" s="15" t="s">
        <v>302</v>
      </c>
      <c r="J17" s="15"/>
      <c r="K17" s="15"/>
    </row>
    <row r="18" spans="1:12" x14ac:dyDescent="0.35">
      <c r="A18" s="8" t="s">
        <v>20</v>
      </c>
      <c r="B18" s="50"/>
      <c r="C18" s="50">
        <v>10</v>
      </c>
      <c r="D18" s="50">
        <v>6</v>
      </c>
      <c r="E18" s="50">
        <v>16</v>
      </c>
    </row>
    <row r="19" spans="1:12" x14ac:dyDescent="0.35">
      <c r="A19" s="8" t="s">
        <v>37</v>
      </c>
      <c r="B19" s="50">
        <v>1</v>
      </c>
      <c r="C19" s="50">
        <v>8</v>
      </c>
      <c r="D19" s="50">
        <v>9</v>
      </c>
      <c r="E19" s="50">
        <v>18</v>
      </c>
    </row>
    <row r="20" spans="1:12" x14ac:dyDescent="0.35">
      <c r="A20" s="8" t="s">
        <v>290</v>
      </c>
      <c r="B20" s="50">
        <v>5</v>
      </c>
      <c r="C20" s="50">
        <v>43</v>
      </c>
      <c r="D20" s="50">
        <v>23</v>
      </c>
      <c r="E20" s="50">
        <v>71</v>
      </c>
    </row>
    <row r="21" spans="1:12" x14ac:dyDescent="0.35">
      <c r="H21" s="7" t="s">
        <v>294</v>
      </c>
      <c r="I21" s="7" t="s">
        <v>287</v>
      </c>
    </row>
    <row r="22" spans="1:12" x14ac:dyDescent="0.35">
      <c r="H22" s="7" t="s">
        <v>296</v>
      </c>
      <c r="I22" t="s">
        <v>291</v>
      </c>
      <c r="J22" t="s">
        <v>292</v>
      </c>
      <c r="K22" t="s">
        <v>266</v>
      </c>
      <c r="L22" t="s">
        <v>290</v>
      </c>
    </row>
    <row r="23" spans="1:12" x14ac:dyDescent="0.35">
      <c r="A23" s="15" t="s">
        <v>300</v>
      </c>
      <c r="B23" s="15"/>
      <c r="C23" s="15"/>
      <c r="D23" s="15"/>
      <c r="E23" s="15"/>
      <c r="H23" s="8">
        <v>3</v>
      </c>
      <c r="I23" s="50"/>
      <c r="J23" s="50">
        <v>2</v>
      </c>
      <c r="K23" s="50">
        <v>2</v>
      </c>
      <c r="L23" s="50">
        <v>4</v>
      </c>
    </row>
    <row r="24" spans="1:12" x14ac:dyDescent="0.35">
      <c r="H24" s="8">
        <v>4</v>
      </c>
      <c r="I24" s="50"/>
      <c r="J24" s="50">
        <v>1</v>
      </c>
      <c r="K24" s="50"/>
      <c r="L24" s="50">
        <v>1</v>
      </c>
    </row>
    <row r="25" spans="1:12" x14ac:dyDescent="0.35">
      <c r="H25" s="8">
        <v>5</v>
      </c>
      <c r="I25" s="50"/>
      <c r="J25" s="50">
        <v>1</v>
      </c>
      <c r="K25" s="50">
        <v>4</v>
      </c>
      <c r="L25" s="50">
        <v>5</v>
      </c>
    </row>
    <row r="26" spans="1:12" x14ac:dyDescent="0.35">
      <c r="B26" s="7" t="s">
        <v>301</v>
      </c>
      <c r="C26" t="s">
        <v>297</v>
      </c>
      <c r="H26" s="8">
        <v>6</v>
      </c>
      <c r="I26" s="50">
        <v>1</v>
      </c>
      <c r="J26" s="50">
        <v>6</v>
      </c>
      <c r="K26" s="50">
        <v>4</v>
      </c>
      <c r="L26" s="50">
        <v>11</v>
      </c>
    </row>
    <row r="27" spans="1:12" x14ac:dyDescent="0.35">
      <c r="B27" s="8" t="s">
        <v>34</v>
      </c>
      <c r="C27" s="10">
        <v>45744.9</v>
      </c>
      <c r="H27" s="8">
        <v>7</v>
      </c>
      <c r="I27" s="50">
        <v>1</v>
      </c>
      <c r="J27" s="50">
        <v>7</v>
      </c>
      <c r="K27" s="50">
        <v>7</v>
      </c>
      <c r="L27" s="50">
        <v>15</v>
      </c>
    </row>
    <row r="28" spans="1:12" x14ac:dyDescent="0.35">
      <c r="B28" s="8" t="s">
        <v>55</v>
      </c>
      <c r="C28" s="10">
        <v>34228.176470588238</v>
      </c>
      <c r="H28" s="8">
        <v>8</v>
      </c>
      <c r="I28" s="50">
        <v>3</v>
      </c>
      <c r="J28" s="50">
        <v>7</v>
      </c>
      <c r="K28" s="50">
        <v>2</v>
      </c>
      <c r="L28" s="50">
        <v>12</v>
      </c>
    </row>
    <row r="29" spans="1:12" x14ac:dyDescent="0.35">
      <c r="B29" s="8" t="s">
        <v>20</v>
      </c>
      <c r="C29" s="10">
        <v>33600.5</v>
      </c>
      <c r="H29" s="8">
        <v>9</v>
      </c>
      <c r="I29" s="50"/>
      <c r="J29" s="50">
        <v>5</v>
      </c>
      <c r="K29" s="50">
        <v>4</v>
      </c>
      <c r="L29" s="50">
        <v>9</v>
      </c>
    </row>
    <row r="30" spans="1:12" x14ac:dyDescent="0.35">
      <c r="B30" s="8" t="s">
        <v>37</v>
      </c>
      <c r="C30" s="10">
        <v>25355.666666666668</v>
      </c>
      <c r="H30" s="8">
        <v>10</v>
      </c>
      <c r="I30" s="50"/>
      <c r="J30" s="50">
        <v>3</v>
      </c>
      <c r="K30" s="50"/>
      <c r="L30" s="50">
        <v>3</v>
      </c>
    </row>
    <row r="31" spans="1:12" x14ac:dyDescent="0.35">
      <c r="B31" s="8" t="s">
        <v>290</v>
      </c>
      <c r="C31" s="10">
        <v>35081.507042253521</v>
      </c>
      <c r="H31" s="8">
        <v>11</v>
      </c>
      <c r="I31" s="50"/>
      <c r="J31" s="50">
        <v>8</v>
      </c>
      <c r="K31" s="50"/>
      <c r="L31" s="50">
        <v>8</v>
      </c>
    </row>
    <row r="32" spans="1:12" x14ac:dyDescent="0.35">
      <c r="H32" s="8">
        <v>12</v>
      </c>
      <c r="I32" s="50"/>
      <c r="J32" s="50">
        <v>1</v>
      </c>
      <c r="K32" s="50"/>
      <c r="L32" s="50">
        <v>1</v>
      </c>
    </row>
    <row r="33" spans="2:12" x14ac:dyDescent="0.35">
      <c r="H33" s="8">
        <v>13</v>
      </c>
      <c r="I33" s="50"/>
      <c r="J33" s="50">
        <v>1</v>
      </c>
      <c r="K33" s="50"/>
      <c r="L33" s="50">
        <v>1</v>
      </c>
    </row>
    <row r="34" spans="2:12" x14ac:dyDescent="0.35">
      <c r="B34" s="15" t="s">
        <v>298</v>
      </c>
      <c r="C34" s="15"/>
      <c r="H34" s="8">
        <v>14</v>
      </c>
      <c r="I34" s="50"/>
      <c r="J34" s="50">
        <v>1</v>
      </c>
      <c r="K34" s="50"/>
      <c r="L34" s="50">
        <v>1</v>
      </c>
    </row>
    <row r="35" spans="2:12" x14ac:dyDescent="0.35">
      <c r="H35" s="8" t="s">
        <v>290</v>
      </c>
      <c r="I35" s="50">
        <v>5</v>
      </c>
      <c r="J35" s="50">
        <v>43</v>
      </c>
      <c r="K35" s="50">
        <v>23</v>
      </c>
      <c r="L35" s="50">
        <v>71</v>
      </c>
    </row>
    <row r="36" spans="2:12" x14ac:dyDescent="0.35">
      <c r="H36" s="15" t="s">
        <v>299</v>
      </c>
      <c r="I36" s="15"/>
      <c r="J36" s="15"/>
      <c r="K36" s="15"/>
      <c r="L36" s="15"/>
    </row>
  </sheetData>
  <mergeCells count="6">
    <mergeCell ref="H36:L36"/>
    <mergeCell ref="A1:H1"/>
    <mergeCell ref="A23:E23"/>
    <mergeCell ref="E8:G8"/>
    <mergeCell ref="B34:C34"/>
    <mergeCell ref="I17:K1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5DD39-5790-424A-91D1-F25431463D57}">
  <dimension ref="A1:R35"/>
  <sheetViews>
    <sheetView tabSelected="1" zoomScale="50" zoomScaleNormal="50" workbookViewId="0">
      <selection activeCell="AC36" sqref="A1:XFD1048576"/>
    </sheetView>
  </sheetViews>
  <sheetFormatPr defaultRowHeight="14.5" x14ac:dyDescent="0.35"/>
  <cols>
    <col min="1" max="1" width="14.1796875" customWidth="1"/>
    <col min="2" max="2" width="7.26953125" bestFit="1" customWidth="1"/>
    <col min="5" max="5" width="18.81640625" customWidth="1"/>
    <col min="9" max="9" width="15.54296875" customWidth="1"/>
    <col min="13" max="13" width="29.54296875" customWidth="1"/>
  </cols>
  <sheetData>
    <row r="1" spans="1:18" ht="23.5" x14ac:dyDescent="0.35">
      <c r="A1" s="18" t="s">
        <v>286</v>
      </c>
      <c r="B1" s="18"/>
      <c r="C1" s="18"/>
      <c r="D1" s="18"/>
      <c r="E1" s="18"/>
      <c r="F1" s="18"/>
      <c r="G1" s="18"/>
      <c r="H1" s="18"/>
      <c r="I1" s="18"/>
      <c r="J1" s="18"/>
      <c r="K1" s="18"/>
      <c r="L1" s="18"/>
      <c r="M1" s="18"/>
      <c r="N1" s="18"/>
    </row>
    <row r="3" spans="1:18" ht="14.5" customHeight="1" x14ac:dyDescent="0.35">
      <c r="A3" s="19" t="s">
        <v>280</v>
      </c>
      <c r="B3" s="20"/>
      <c r="C3" s="48"/>
      <c r="D3" s="19" t="s">
        <v>281</v>
      </c>
      <c r="E3" s="20"/>
      <c r="F3" s="48"/>
      <c r="G3" s="19" t="s">
        <v>282</v>
      </c>
      <c r="H3" s="20"/>
      <c r="I3" s="48"/>
      <c r="J3" s="19" t="s">
        <v>283</v>
      </c>
      <c r="K3" s="20"/>
      <c r="L3" s="48"/>
      <c r="M3" s="19" t="s">
        <v>284</v>
      </c>
      <c r="N3" s="20"/>
    </row>
    <row r="4" spans="1:18" x14ac:dyDescent="0.35">
      <c r="A4" s="21"/>
      <c r="B4" s="22"/>
      <c r="C4" s="49"/>
      <c r="D4" s="21"/>
      <c r="E4" s="22"/>
      <c r="F4" s="49"/>
      <c r="G4" s="21"/>
      <c r="H4" s="22"/>
      <c r="I4" s="49"/>
      <c r="J4" s="21"/>
      <c r="K4" s="22"/>
      <c r="L4" s="49"/>
      <c r="M4" s="21"/>
      <c r="N4" s="22"/>
    </row>
    <row r="5" spans="1:18" x14ac:dyDescent="0.35">
      <c r="A5" s="23">
        <f>COUNTA(Master_Data!A2:A121)</f>
        <v>120</v>
      </c>
      <c r="B5" s="24"/>
      <c r="C5" s="25"/>
      <c r="D5" s="29">
        <v>0.67500000000000004</v>
      </c>
      <c r="E5" s="30"/>
      <c r="F5" s="31"/>
      <c r="G5" s="29">
        <v>0.72499999999999998</v>
      </c>
      <c r="H5" s="30"/>
      <c r="I5" s="31"/>
      <c r="J5" s="35">
        <v>58128.654320987655</v>
      </c>
      <c r="K5" s="36"/>
      <c r="L5" s="37"/>
      <c r="M5" s="41">
        <v>7.9416666666666664</v>
      </c>
      <c r="N5" s="42"/>
    </row>
    <row r="6" spans="1:18" x14ac:dyDescent="0.35">
      <c r="A6" s="26"/>
      <c r="B6" s="27"/>
      <c r="C6" s="28"/>
      <c r="D6" s="32"/>
      <c r="E6" s="33"/>
      <c r="F6" s="34"/>
      <c r="G6" s="32"/>
      <c r="H6" s="33"/>
      <c r="I6" s="34"/>
      <c r="J6" s="38"/>
      <c r="K6" s="39"/>
      <c r="L6" s="40"/>
      <c r="M6" s="43"/>
      <c r="N6" s="44"/>
    </row>
    <row r="7" spans="1:18" x14ac:dyDescent="0.35">
      <c r="P7" s="3"/>
      <c r="Q7" s="3"/>
      <c r="R7" s="3"/>
    </row>
    <row r="8" spans="1:18" ht="15" thickBot="1" x14ac:dyDescent="0.4">
      <c r="P8" s="3"/>
      <c r="Q8" s="3"/>
      <c r="R8" s="3"/>
    </row>
    <row r="9" spans="1:18" ht="15" thickBot="1" x14ac:dyDescent="0.4">
      <c r="M9" s="45" t="s">
        <v>303</v>
      </c>
      <c r="N9" s="46"/>
      <c r="O9" s="47"/>
      <c r="P9" s="3"/>
      <c r="Q9" s="3"/>
      <c r="R9" s="3"/>
    </row>
    <row r="10" spans="1:18" ht="15" thickBot="1" x14ac:dyDescent="0.4">
      <c r="C10" s="45" t="s">
        <v>304</v>
      </c>
      <c r="D10" s="46"/>
      <c r="E10" s="46"/>
      <c r="F10" s="47"/>
      <c r="Q10" s="3"/>
      <c r="R10" s="3"/>
    </row>
    <row r="11" spans="1:18" x14ac:dyDescent="0.35">
      <c r="P11" s="2"/>
      <c r="Q11" s="3"/>
    </row>
    <row r="12" spans="1:18" x14ac:dyDescent="0.35">
      <c r="C12" s="8" t="s">
        <v>274</v>
      </c>
      <c r="D12">
        <v>20</v>
      </c>
      <c r="P12" s="2"/>
      <c r="Q12" s="4"/>
    </row>
    <row r="13" spans="1:18" x14ac:dyDescent="0.35">
      <c r="C13" s="8" t="s">
        <v>270</v>
      </c>
      <c r="D13">
        <v>5</v>
      </c>
      <c r="P13" s="2"/>
      <c r="Q13" s="5"/>
    </row>
    <row r="14" spans="1:18" x14ac:dyDescent="0.35">
      <c r="C14" s="8" t="s">
        <v>20</v>
      </c>
      <c r="D14">
        <v>14</v>
      </c>
    </row>
    <row r="15" spans="1:18" x14ac:dyDescent="0.35">
      <c r="C15" s="8" t="s">
        <v>271</v>
      </c>
      <c r="D15">
        <v>6</v>
      </c>
    </row>
    <row r="16" spans="1:18" x14ac:dyDescent="0.35">
      <c r="C16" s="8" t="s">
        <v>37</v>
      </c>
      <c r="D16">
        <v>10</v>
      </c>
    </row>
    <row r="17" spans="3:16" x14ac:dyDescent="0.35">
      <c r="C17" s="8" t="s">
        <v>267</v>
      </c>
      <c r="D17">
        <v>39</v>
      </c>
    </row>
    <row r="18" spans="3:16" x14ac:dyDescent="0.35">
      <c r="C18" s="8" t="s">
        <v>275</v>
      </c>
      <c r="D18">
        <v>5</v>
      </c>
    </row>
    <row r="19" spans="3:16" x14ac:dyDescent="0.35">
      <c r="C19" s="8" t="s">
        <v>268</v>
      </c>
      <c r="D19">
        <v>21</v>
      </c>
    </row>
    <row r="30" spans="3:16" ht="15" thickBot="1" x14ac:dyDescent="0.4"/>
    <row r="31" spans="3:16" ht="15" thickBot="1" x14ac:dyDescent="0.4">
      <c r="C31" s="45" t="s">
        <v>305</v>
      </c>
      <c r="D31" s="46"/>
      <c r="E31" s="47"/>
      <c r="M31" s="45" t="s">
        <v>285</v>
      </c>
      <c r="N31" s="46"/>
      <c r="O31" s="46"/>
      <c r="P31" s="47"/>
    </row>
    <row r="35" spans="9:9" x14ac:dyDescent="0.35">
      <c r="I35" s="12"/>
    </row>
  </sheetData>
  <mergeCells count="15">
    <mergeCell ref="M31:P31"/>
    <mergeCell ref="M9:O9"/>
    <mergeCell ref="C10:F10"/>
    <mergeCell ref="C31:E31"/>
    <mergeCell ref="A3:C4"/>
    <mergeCell ref="D3:F4"/>
    <mergeCell ref="G3:I4"/>
    <mergeCell ref="J3:L4"/>
    <mergeCell ref="A1:N1"/>
    <mergeCell ref="M3:N4"/>
    <mergeCell ref="A5:C6"/>
    <mergeCell ref="D5:F6"/>
    <mergeCell ref="G5:I6"/>
    <mergeCell ref="J5:L6"/>
    <mergeCell ref="M5:N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 Me</vt:lpstr>
      <vt:lpstr>Students</vt:lpstr>
      <vt:lpstr>Engagement</vt:lpstr>
      <vt:lpstr>Outcomes</vt:lpstr>
      <vt:lpstr>Master_Data</vt:lpstr>
      <vt:lpstr>Summary_Analysis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 Pellissery</dc:creator>
  <cp:lastModifiedBy>Steve Pellissery</cp:lastModifiedBy>
  <dcterms:created xsi:type="dcterms:W3CDTF">2026-04-07T15:13:14Z</dcterms:created>
  <dcterms:modified xsi:type="dcterms:W3CDTF">2026-04-08T18:55:39Z</dcterms:modified>
</cp:coreProperties>
</file>